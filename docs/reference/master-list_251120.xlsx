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MY\Desktop\"/>
    </mc:Choice>
  </mc:AlternateContent>
  <xr:revisionPtr revIDLastSave="0" documentId="13_ncr:1_{89862BA2-1D4B-444C-91D3-B92A5B1B0B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&amp;L 지게차 Master list" sheetId="11" r:id="rId1"/>
    <sheet name="예비 및 여유차량" sheetId="13" r:id="rId2"/>
    <sheet name="예비차량 Summary" sheetId="12" r:id="rId3"/>
    <sheet name="업체별 보유현황" sheetId="3" r:id="rId4"/>
  </sheets>
  <definedNames>
    <definedName name="_xlnm._FilterDatabase" localSheetId="0" hidden="1">'K&amp;L 지게차 Master list'!$A$3:$AD$447</definedName>
    <definedName name="_xlnm._FilterDatabase" localSheetId="1" hidden="1">'예비 및 여유차량'!$A$4:$AI$61</definedName>
    <definedName name="_xlnm.Print_Area" localSheetId="1">'예비 및 여유차량'!$A$1:$V$79</definedName>
  </definedNames>
  <calcPr calcId="191029"/>
  <pivotCaches>
    <pivotCache cacheId="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45" i="11" l="1"/>
  <c r="C445" i="11"/>
  <c r="D445" i="11"/>
  <c r="E445" i="11"/>
  <c r="B446" i="11"/>
  <c r="C446" i="11"/>
  <c r="D446" i="11"/>
  <c r="E446" i="11"/>
  <c r="B447" i="11"/>
  <c r="C447" i="11"/>
  <c r="D447" i="11"/>
  <c r="E447" i="11"/>
  <c r="B441" i="11"/>
  <c r="C441" i="11"/>
  <c r="D441" i="11"/>
  <c r="E441" i="11"/>
  <c r="B442" i="11"/>
  <c r="C442" i="11"/>
  <c r="D442" i="11"/>
  <c r="E442" i="11"/>
  <c r="B443" i="11"/>
  <c r="C443" i="11"/>
  <c r="D443" i="11"/>
  <c r="E443" i="11"/>
  <c r="B444" i="11"/>
  <c r="C444" i="11"/>
  <c r="D444" i="11"/>
  <c r="E444" i="11"/>
  <c r="B43" i="13" l="1"/>
  <c r="B36" i="13" l="1"/>
  <c r="N20" i="12"/>
  <c r="N19" i="12"/>
  <c r="N18" i="12"/>
  <c r="N17" i="12"/>
  <c r="N16" i="12"/>
  <c r="N15" i="12"/>
  <c r="N14" i="12"/>
  <c r="N13" i="12"/>
  <c r="N12" i="12"/>
  <c r="N11" i="12"/>
  <c r="N10" i="12"/>
  <c r="M20" i="12"/>
  <c r="M19" i="12"/>
  <c r="M18" i="12"/>
  <c r="M17" i="12"/>
  <c r="M16" i="12"/>
  <c r="M15" i="12"/>
  <c r="M14" i="12"/>
  <c r="M13" i="12"/>
  <c r="M12" i="12"/>
  <c r="M11" i="12"/>
  <c r="M10" i="12"/>
  <c r="B10" i="13"/>
  <c r="N21" i="12" l="1"/>
  <c r="M21" i="12" l="1"/>
  <c r="P454" i="11"/>
  <c r="P455" i="11"/>
  <c r="B44" i="13" l="1"/>
  <c r="B41" i="13"/>
  <c r="B40" i="13"/>
  <c r="B39" i="13"/>
  <c r="B38" i="13"/>
  <c r="B37" i="13"/>
  <c r="B61" i="13"/>
  <c r="B17" i="13"/>
  <c r="B18" i="13"/>
  <c r="P453" i="11" l="1"/>
  <c r="U462" i="11"/>
  <c r="P452" i="11"/>
  <c r="E440" i="11"/>
  <c r="D440" i="11"/>
  <c r="C440" i="11"/>
  <c r="B440" i="11"/>
  <c r="E439" i="11"/>
  <c r="D439" i="11"/>
  <c r="C439" i="11"/>
  <c r="B439" i="11"/>
  <c r="E438" i="11"/>
  <c r="D438" i="11"/>
  <c r="C438" i="11"/>
  <c r="B438" i="11"/>
  <c r="E437" i="11"/>
  <c r="D437" i="11"/>
  <c r="C437" i="11"/>
  <c r="B437" i="11"/>
  <c r="E436" i="11"/>
  <c r="D436" i="11"/>
  <c r="C436" i="11"/>
  <c r="B436" i="11"/>
  <c r="E435" i="11"/>
  <c r="D435" i="11"/>
  <c r="C435" i="11"/>
  <c r="B435" i="11"/>
  <c r="E434" i="11"/>
  <c r="D434" i="11"/>
  <c r="C434" i="11"/>
  <c r="B434" i="11"/>
  <c r="B12" i="13" l="1"/>
  <c r="B56" i="13"/>
  <c r="B57" i="13"/>
  <c r="B58" i="13"/>
  <c r="B59" i="13"/>
  <c r="B60" i="13"/>
  <c r="B55" i="13"/>
  <c r="B42" i="13"/>
  <c r="B35" i="13"/>
  <c r="B34" i="13"/>
  <c r="B24" i="13"/>
  <c r="B23" i="13"/>
  <c r="B22" i="13"/>
  <c r="B21" i="13"/>
  <c r="B20" i="13"/>
  <c r="B30" i="13"/>
  <c r="B29" i="13"/>
  <c r="B28" i="13"/>
  <c r="B27" i="13"/>
  <c r="B19" i="13"/>
  <c r="B16" i="13"/>
  <c r="B15" i="13"/>
  <c r="B14" i="13"/>
  <c r="B13" i="13"/>
  <c r="B11" i="13"/>
  <c r="B9" i="13"/>
  <c r="B8" i="13"/>
  <c r="B7" i="13"/>
  <c r="B6" i="13"/>
  <c r="B5" i="13"/>
  <c r="E67" i="13" l="1"/>
  <c r="E66" i="13"/>
  <c r="G73" i="13"/>
  <c r="L20" i="12"/>
  <c r="Z20" i="12"/>
  <c r="Z12" i="12"/>
  <c r="Y13" i="12"/>
  <c r="X16" i="12"/>
  <c r="Z19" i="12"/>
  <c r="Z11" i="12"/>
  <c r="Y20" i="12"/>
  <c r="Y12" i="12"/>
  <c r="X15" i="12"/>
  <c r="Z10" i="12"/>
  <c r="Y19" i="12"/>
  <c r="Y11" i="12"/>
  <c r="X14" i="12"/>
  <c r="Z16" i="12"/>
  <c r="Y17" i="12"/>
  <c r="X20" i="12"/>
  <c r="X12" i="12"/>
  <c r="X19" i="12"/>
  <c r="X11" i="12"/>
  <c r="X18" i="12"/>
  <c r="X10" i="12"/>
  <c r="X17" i="12"/>
  <c r="Z18" i="12"/>
  <c r="Z17" i="12"/>
  <c r="Y18" i="12"/>
  <c r="Y10" i="12"/>
  <c r="X13" i="12"/>
  <c r="Z15" i="12"/>
  <c r="Y16" i="12"/>
  <c r="Z14" i="12"/>
  <c r="Y15" i="12"/>
  <c r="Z13" i="12"/>
  <c r="Y14" i="12"/>
  <c r="T15" i="12"/>
  <c r="S19" i="12"/>
  <c r="S11" i="12"/>
  <c r="R14" i="12"/>
  <c r="S15" i="12"/>
  <c r="T10" i="12"/>
  <c r="S14" i="12"/>
  <c r="S13" i="12"/>
  <c r="S12" i="12"/>
  <c r="T14" i="12"/>
  <c r="S18" i="12"/>
  <c r="S10" i="12"/>
  <c r="R13" i="12"/>
  <c r="T13" i="12"/>
  <c r="S17" i="12"/>
  <c r="R20" i="12"/>
  <c r="R12" i="12"/>
  <c r="T11" i="12"/>
  <c r="R10" i="12"/>
  <c r="T18" i="12"/>
  <c r="T17" i="12"/>
  <c r="T16" i="12"/>
  <c r="S20" i="12"/>
  <c r="T20" i="12"/>
  <c r="T12" i="12"/>
  <c r="S16" i="12"/>
  <c r="R19" i="12"/>
  <c r="R11" i="12"/>
  <c r="T19" i="12"/>
  <c r="R18" i="12"/>
  <c r="R17" i="12"/>
  <c r="R16" i="12"/>
  <c r="R15" i="12"/>
  <c r="L12" i="12"/>
  <c r="L16" i="12"/>
  <c r="L14" i="12"/>
  <c r="L13" i="12"/>
  <c r="L19" i="12"/>
  <c r="L11" i="12"/>
  <c r="L18" i="12"/>
  <c r="L10" i="12"/>
  <c r="L17" i="12"/>
  <c r="L15" i="12"/>
  <c r="G72" i="13"/>
  <c r="H15" i="12"/>
  <c r="G20" i="12"/>
  <c r="G12" i="12"/>
  <c r="F15" i="12"/>
  <c r="G17" i="12"/>
  <c r="F20" i="12"/>
  <c r="G16" i="12"/>
  <c r="G15" i="12"/>
  <c r="F17" i="12"/>
  <c r="F16" i="12"/>
  <c r="H14" i="12"/>
  <c r="G19" i="12"/>
  <c r="G11" i="12"/>
  <c r="F14" i="12"/>
  <c r="H20" i="12"/>
  <c r="H19" i="12"/>
  <c r="F19" i="12"/>
  <c r="H18" i="12"/>
  <c r="F18" i="12"/>
  <c r="G14" i="12"/>
  <c r="G71" i="13"/>
  <c r="H16" i="12"/>
  <c r="H13" i="12"/>
  <c r="G18" i="12"/>
  <c r="G10" i="12"/>
  <c r="F13" i="12"/>
  <c r="H12" i="12"/>
  <c r="F12" i="12"/>
  <c r="H11" i="12"/>
  <c r="F10" i="12"/>
  <c r="H10" i="12"/>
  <c r="F11" i="12"/>
  <c r="H17" i="12"/>
  <c r="G13" i="12"/>
  <c r="G66" i="13"/>
  <c r="G67" i="13"/>
  <c r="G70" i="13"/>
  <c r="G74" i="13"/>
  <c r="G69" i="13"/>
  <c r="D20" i="12"/>
  <c r="C20" i="12"/>
  <c r="E20" i="12"/>
  <c r="Q19" i="12"/>
  <c r="Q11" i="12"/>
  <c r="P13" i="12"/>
  <c r="O15" i="12"/>
  <c r="Q18" i="12"/>
  <c r="Q10" i="12"/>
  <c r="P12" i="12"/>
  <c r="O13" i="12"/>
  <c r="Q16" i="12"/>
  <c r="P10" i="12"/>
  <c r="O12" i="12"/>
  <c r="P20" i="12"/>
  <c r="P17" i="12"/>
  <c r="O19" i="12"/>
  <c r="O11" i="12"/>
  <c r="O20" i="12"/>
  <c r="Q14" i="12"/>
  <c r="P16" i="12"/>
  <c r="O18" i="12"/>
  <c r="P15" i="12"/>
  <c r="O17" i="12"/>
  <c r="P14" i="12"/>
  <c r="O16" i="12"/>
  <c r="O14" i="12"/>
  <c r="Q17" i="12"/>
  <c r="P19" i="12"/>
  <c r="P11" i="12"/>
  <c r="Q20" i="12"/>
  <c r="P18" i="12"/>
  <c r="Q15" i="12"/>
  <c r="O10" i="12"/>
  <c r="Q13" i="12"/>
  <c r="Q12" i="12"/>
  <c r="V20" i="12"/>
  <c r="U20" i="12"/>
  <c r="W20" i="12"/>
  <c r="I20" i="12"/>
  <c r="K20" i="12"/>
  <c r="J20" i="12"/>
  <c r="I14" i="12"/>
  <c r="D12" i="12"/>
  <c r="V16" i="12"/>
  <c r="W14" i="12"/>
  <c r="K12" i="12"/>
  <c r="I16" i="12"/>
  <c r="K19" i="12"/>
  <c r="J13" i="12"/>
  <c r="J14" i="12"/>
  <c r="K11" i="12"/>
  <c r="I15" i="12"/>
  <c r="J12" i="12"/>
  <c r="D17" i="12"/>
  <c r="K10" i="12"/>
  <c r="C16" i="12"/>
  <c r="K18" i="12"/>
  <c r="E15" i="12"/>
  <c r="U10" i="12"/>
  <c r="U18" i="12"/>
  <c r="C12" i="12"/>
  <c r="E14" i="12"/>
  <c r="C15" i="12"/>
  <c r="D16" i="12"/>
  <c r="E13" i="12"/>
  <c r="C14" i="12"/>
  <c r="E19" i="12"/>
  <c r="D13" i="12"/>
  <c r="C19" i="12"/>
  <c r="D11" i="12"/>
  <c r="C18" i="12"/>
  <c r="E12" i="12"/>
  <c r="E16" i="12"/>
  <c r="D18" i="12"/>
  <c r="D15" i="12"/>
  <c r="C11" i="12"/>
  <c r="D19" i="12"/>
  <c r="E11" i="12"/>
  <c r="C13" i="12"/>
  <c r="D14" i="12"/>
  <c r="E10" i="12"/>
  <c r="E18" i="12"/>
  <c r="C10" i="12"/>
  <c r="E17" i="12"/>
  <c r="D10" i="12"/>
  <c r="C17" i="12"/>
  <c r="U19" i="12"/>
  <c r="W15" i="12"/>
  <c r="V10" i="12"/>
  <c r="V18" i="12"/>
  <c r="J15" i="12"/>
  <c r="V11" i="12"/>
  <c r="J16" i="12"/>
  <c r="U14" i="12"/>
  <c r="V12" i="12"/>
  <c r="W10" i="12"/>
  <c r="W18" i="12"/>
  <c r="I11" i="12"/>
  <c r="I19" i="12"/>
  <c r="J17" i="12"/>
  <c r="K15" i="12"/>
  <c r="U15" i="12"/>
  <c r="V13" i="12"/>
  <c r="W11" i="12"/>
  <c r="W19" i="12"/>
  <c r="W17" i="12"/>
  <c r="I18" i="12"/>
  <c r="J10" i="12"/>
  <c r="U16" i="12"/>
  <c r="V14" i="12"/>
  <c r="W12" i="12"/>
  <c r="U11" i="12"/>
  <c r="V17" i="12"/>
  <c r="U12" i="12"/>
  <c r="W16" i="12"/>
  <c r="I17" i="12"/>
  <c r="K13" i="12"/>
  <c r="U13" i="12"/>
  <c r="V19" i="12"/>
  <c r="I10" i="12"/>
  <c r="K14" i="12"/>
  <c r="I12" i="12"/>
  <c r="J18" i="12"/>
  <c r="K16" i="12"/>
  <c r="I13" i="12"/>
  <c r="J11" i="12"/>
  <c r="J19" i="12"/>
  <c r="K17" i="12"/>
  <c r="U17" i="12"/>
  <c r="V15" i="12"/>
  <c r="W13" i="12"/>
  <c r="H5" i="12" l="1"/>
  <c r="G5" i="12"/>
  <c r="F5" i="12"/>
  <c r="E5" i="12"/>
  <c r="O21" i="12"/>
  <c r="Q21" i="12"/>
  <c r="X21" i="12"/>
  <c r="V21" i="12"/>
  <c r="P21" i="12"/>
  <c r="S21" i="12"/>
  <c r="T21" i="12"/>
  <c r="I21" i="12"/>
  <c r="L21" i="12"/>
  <c r="J21" i="12"/>
  <c r="Z21" i="12"/>
  <c r="K21" i="12"/>
  <c r="Y21" i="12"/>
  <c r="G21" i="12"/>
  <c r="W21" i="12"/>
  <c r="U21" i="12"/>
  <c r="R21" i="12"/>
  <c r="H21" i="12"/>
  <c r="E21" i="12"/>
  <c r="D21" i="12"/>
  <c r="F21" i="12"/>
  <c r="C21" i="12"/>
  <c r="E75" i="13"/>
  <c r="G75" i="13"/>
  <c r="C5" i="12" l="1"/>
  <c r="B433" i="11"/>
  <c r="C433" i="11"/>
  <c r="D433" i="11"/>
  <c r="E433" i="11"/>
  <c r="B431" i="11" l="1"/>
  <c r="C431" i="11"/>
  <c r="D431" i="11"/>
  <c r="E431" i="11"/>
  <c r="B432" i="11"/>
  <c r="C432" i="11"/>
  <c r="D432" i="11"/>
  <c r="E432" i="11"/>
  <c r="B366" i="11" l="1"/>
  <c r="C366" i="11"/>
  <c r="D366" i="11"/>
  <c r="E366" i="11"/>
  <c r="B367" i="11"/>
  <c r="C367" i="11"/>
  <c r="D367" i="11"/>
  <c r="E367" i="11"/>
  <c r="B368" i="11"/>
  <c r="C368" i="11"/>
  <c r="D368" i="11"/>
  <c r="E368" i="11"/>
  <c r="B369" i="11"/>
  <c r="C369" i="11"/>
  <c r="D369" i="11"/>
  <c r="E369" i="11"/>
  <c r="B370" i="11"/>
  <c r="C370" i="11"/>
  <c r="D370" i="11"/>
  <c r="E370" i="11"/>
  <c r="B371" i="11"/>
  <c r="C371" i="11"/>
  <c r="D371" i="11"/>
  <c r="E371" i="11"/>
  <c r="B372" i="11"/>
  <c r="C372" i="11"/>
  <c r="D372" i="11"/>
  <c r="E372" i="11"/>
  <c r="B373" i="11"/>
  <c r="C373" i="11"/>
  <c r="D373" i="11"/>
  <c r="E373" i="11"/>
  <c r="B374" i="11"/>
  <c r="C374" i="11"/>
  <c r="D374" i="11"/>
  <c r="E374" i="11"/>
  <c r="B375" i="11"/>
  <c r="C375" i="11"/>
  <c r="D375" i="11"/>
  <c r="E375" i="11"/>
  <c r="B376" i="11"/>
  <c r="C376" i="11"/>
  <c r="D376" i="11"/>
  <c r="E376" i="11"/>
  <c r="B377" i="11"/>
  <c r="C377" i="11"/>
  <c r="D377" i="11"/>
  <c r="E377" i="11"/>
  <c r="B378" i="11"/>
  <c r="C378" i="11"/>
  <c r="D378" i="11"/>
  <c r="E378" i="11"/>
  <c r="B379" i="11"/>
  <c r="C379" i="11"/>
  <c r="D379" i="11"/>
  <c r="E379" i="11"/>
  <c r="B380" i="11"/>
  <c r="C380" i="11"/>
  <c r="D380" i="11"/>
  <c r="E380" i="11"/>
  <c r="B381" i="11"/>
  <c r="C381" i="11"/>
  <c r="D381" i="11"/>
  <c r="E381" i="11"/>
  <c r="B382" i="11"/>
  <c r="C382" i="11"/>
  <c r="D382" i="11"/>
  <c r="E382" i="11"/>
  <c r="B383" i="11"/>
  <c r="C383" i="11"/>
  <c r="D383" i="11"/>
  <c r="E383" i="11"/>
  <c r="B384" i="11"/>
  <c r="C384" i="11"/>
  <c r="D384" i="11"/>
  <c r="E384" i="11"/>
  <c r="B385" i="11"/>
  <c r="C385" i="11"/>
  <c r="D385" i="11"/>
  <c r="E385" i="11"/>
  <c r="B386" i="11"/>
  <c r="C386" i="11"/>
  <c r="D386" i="11"/>
  <c r="E386" i="11"/>
  <c r="B387" i="11"/>
  <c r="C387" i="11"/>
  <c r="D387" i="11"/>
  <c r="E387" i="11"/>
  <c r="B388" i="11"/>
  <c r="C388" i="11"/>
  <c r="D388" i="11"/>
  <c r="E388" i="11"/>
  <c r="B389" i="11"/>
  <c r="C389" i="11"/>
  <c r="D389" i="11"/>
  <c r="E389" i="11"/>
  <c r="B390" i="11"/>
  <c r="C390" i="11"/>
  <c r="D390" i="11"/>
  <c r="E390" i="11"/>
  <c r="B391" i="11"/>
  <c r="C391" i="11"/>
  <c r="D391" i="11"/>
  <c r="E391" i="11"/>
  <c r="B392" i="11"/>
  <c r="C392" i="11"/>
  <c r="D392" i="11"/>
  <c r="E392" i="11"/>
  <c r="B393" i="11"/>
  <c r="C393" i="11"/>
  <c r="D393" i="11"/>
  <c r="E393" i="11"/>
  <c r="B394" i="11"/>
  <c r="C394" i="11"/>
  <c r="D394" i="11"/>
  <c r="E394" i="11"/>
  <c r="B395" i="11"/>
  <c r="C395" i="11"/>
  <c r="D395" i="11"/>
  <c r="E395" i="11"/>
  <c r="B396" i="11"/>
  <c r="C396" i="11"/>
  <c r="D396" i="11"/>
  <c r="E396" i="11"/>
  <c r="B397" i="11"/>
  <c r="C397" i="11"/>
  <c r="D397" i="11"/>
  <c r="E397" i="11"/>
  <c r="B398" i="11"/>
  <c r="C398" i="11"/>
  <c r="D398" i="11"/>
  <c r="E398" i="11"/>
  <c r="B399" i="11"/>
  <c r="C399" i="11"/>
  <c r="D399" i="11"/>
  <c r="E399" i="11"/>
  <c r="B400" i="11"/>
  <c r="C400" i="11"/>
  <c r="D400" i="11"/>
  <c r="E400" i="11"/>
  <c r="B401" i="11"/>
  <c r="C401" i="11"/>
  <c r="D401" i="11"/>
  <c r="E401" i="11"/>
  <c r="B402" i="11"/>
  <c r="C402" i="11"/>
  <c r="D402" i="11"/>
  <c r="E402" i="11"/>
  <c r="B403" i="11"/>
  <c r="C403" i="11"/>
  <c r="D403" i="11"/>
  <c r="E403" i="11"/>
  <c r="B404" i="11"/>
  <c r="C404" i="11"/>
  <c r="D404" i="11"/>
  <c r="E404" i="11"/>
  <c r="B405" i="11"/>
  <c r="C405" i="11"/>
  <c r="D405" i="11"/>
  <c r="E405" i="11"/>
  <c r="B406" i="11"/>
  <c r="C406" i="11"/>
  <c r="D406" i="11"/>
  <c r="E406" i="11"/>
  <c r="B407" i="11"/>
  <c r="C407" i="11"/>
  <c r="D407" i="11"/>
  <c r="E407" i="11"/>
  <c r="B408" i="11"/>
  <c r="C408" i="11"/>
  <c r="D408" i="11"/>
  <c r="E408" i="11"/>
  <c r="B409" i="11"/>
  <c r="C409" i="11"/>
  <c r="D409" i="11"/>
  <c r="E409" i="11"/>
  <c r="B410" i="11"/>
  <c r="C410" i="11"/>
  <c r="D410" i="11"/>
  <c r="E410" i="11"/>
  <c r="B411" i="11"/>
  <c r="C411" i="11"/>
  <c r="D411" i="11"/>
  <c r="E411" i="11"/>
  <c r="B412" i="11"/>
  <c r="C412" i="11"/>
  <c r="D412" i="11"/>
  <c r="E412" i="11"/>
  <c r="B413" i="11"/>
  <c r="C413" i="11"/>
  <c r="D413" i="11"/>
  <c r="E413" i="11"/>
  <c r="B414" i="11"/>
  <c r="C414" i="11"/>
  <c r="D414" i="11"/>
  <c r="E414" i="11"/>
  <c r="B415" i="11"/>
  <c r="C415" i="11"/>
  <c r="D415" i="11"/>
  <c r="E415" i="11"/>
  <c r="B416" i="11"/>
  <c r="C416" i="11"/>
  <c r="D416" i="11"/>
  <c r="E416" i="11"/>
  <c r="B417" i="11"/>
  <c r="C417" i="11"/>
  <c r="D417" i="11"/>
  <c r="E417" i="11"/>
  <c r="B418" i="11"/>
  <c r="C418" i="11"/>
  <c r="D418" i="11"/>
  <c r="E418" i="11"/>
  <c r="B419" i="11"/>
  <c r="C419" i="11"/>
  <c r="D419" i="11"/>
  <c r="E419" i="11"/>
  <c r="B420" i="11"/>
  <c r="C420" i="11"/>
  <c r="D420" i="11"/>
  <c r="E420" i="11"/>
  <c r="B421" i="11"/>
  <c r="C421" i="11"/>
  <c r="D421" i="11"/>
  <c r="E421" i="11"/>
  <c r="B422" i="11"/>
  <c r="C422" i="11"/>
  <c r="D422" i="11"/>
  <c r="E422" i="11"/>
  <c r="B423" i="11"/>
  <c r="C423" i="11"/>
  <c r="D423" i="11"/>
  <c r="E423" i="11"/>
  <c r="B424" i="11"/>
  <c r="C424" i="11"/>
  <c r="D424" i="11"/>
  <c r="E424" i="11"/>
  <c r="B425" i="11"/>
  <c r="C425" i="11"/>
  <c r="D425" i="11"/>
  <c r="E425" i="11"/>
  <c r="B426" i="11"/>
  <c r="C426" i="11"/>
  <c r="D426" i="11"/>
  <c r="E426" i="11"/>
  <c r="B427" i="11"/>
  <c r="C427" i="11"/>
  <c r="D427" i="11"/>
  <c r="E427" i="11"/>
  <c r="B428" i="11"/>
  <c r="C428" i="11"/>
  <c r="D428" i="11"/>
  <c r="E428" i="11"/>
  <c r="B429" i="11"/>
  <c r="C429" i="11"/>
  <c r="D429" i="11"/>
  <c r="E429" i="11"/>
  <c r="B430" i="11"/>
  <c r="C430" i="11"/>
  <c r="D430" i="11"/>
  <c r="E430" i="11"/>
  <c r="AA449" i="11"/>
  <c r="E362" i="11" l="1"/>
  <c r="E363" i="11"/>
  <c r="E364" i="11"/>
  <c r="E365" i="11"/>
  <c r="D362" i="11"/>
  <c r="D363" i="11"/>
  <c r="D364" i="11"/>
  <c r="D365" i="11"/>
  <c r="C362" i="11"/>
  <c r="C363" i="11"/>
  <c r="C364" i="11"/>
  <c r="C365" i="11"/>
  <c r="B362" i="11"/>
  <c r="B363" i="11"/>
  <c r="B364" i="11"/>
  <c r="B365" i="11"/>
  <c r="B4" i="11"/>
  <c r="C4" i="11"/>
  <c r="D4" i="11"/>
  <c r="E4" i="11"/>
  <c r="B361" i="11"/>
  <c r="C361" i="11"/>
  <c r="D361" i="11"/>
  <c r="E361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6" i="11"/>
  <c r="D67" i="11"/>
  <c r="D68" i="11"/>
  <c r="D69" i="11"/>
  <c r="D70" i="11"/>
  <c r="D71" i="11"/>
  <c r="D72" i="11"/>
  <c r="D73" i="11"/>
  <c r="D74" i="11"/>
  <c r="D75" i="11"/>
  <c r="D76" i="11"/>
  <c r="D77" i="11"/>
  <c r="D78" i="11"/>
  <c r="D79" i="11"/>
  <c r="D80" i="11"/>
  <c r="D81" i="11"/>
  <c r="D82" i="11"/>
  <c r="D83" i="11"/>
  <c r="D84" i="11"/>
  <c r="D85" i="11"/>
  <c r="D86" i="11"/>
  <c r="D87" i="11"/>
  <c r="D88" i="11"/>
  <c r="D89" i="11"/>
  <c r="D90" i="11"/>
  <c r="D91" i="11"/>
  <c r="D92" i="11"/>
  <c r="D93" i="11"/>
  <c r="D94" i="11"/>
  <c r="D95" i="11"/>
  <c r="D96" i="11"/>
  <c r="D97" i="11"/>
  <c r="D98" i="11"/>
  <c r="D99" i="11"/>
  <c r="D100" i="11"/>
  <c r="D101" i="11"/>
  <c r="D102" i="11"/>
  <c r="D103" i="11"/>
  <c r="D104" i="11"/>
  <c r="D105" i="11"/>
  <c r="D106" i="11"/>
  <c r="D107" i="11"/>
  <c r="D108" i="11"/>
  <c r="D109" i="11"/>
  <c r="D110" i="11"/>
  <c r="D111" i="11"/>
  <c r="D112" i="11"/>
  <c r="D113" i="11"/>
  <c r="D114" i="11"/>
  <c r="D115" i="11"/>
  <c r="D116" i="11"/>
  <c r="D117" i="11"/>
  <c r="D118" i="11"/>
  <c r="D119" i="11"/>
  <c r="D120" i="11"/>
  <c r="D121" i="11"/>
  <c r="D122" i="11"/>
  <c r="D123" i="11"/>
  <c r="D124" i="11"/>
  <c r="D125" i="11"/>
  <c r="D126" i="11"/>
  <c r="D127" i="11"/>
  <c r="D128" i="11"/>
  <c r="D129" i="11"/>
  <c r="D130" i="11"/>
  <c r="D131" i="11"/>
  <c r="D132" i="11"/>
  <c r="D133" i="11"/>
  <c r="D134" i="11"/>
  <c r="D135" i="11"/>
  <c r="D136" i="11"/>
  <c r="D137" i="11"/>
  <c r="D138" i="11"/>
  <c r="D139" i="11"/>
  <c r="D140" i="11"/>
  <c r="D141" i="11"/>
  <c r="D142" i="11"/>
  <c r="D143" i="11"/>
  <c r="D144" i="11"/>
  <c r="D145" i="11"/>
  <c r="D146" i="11"/>
  <c r="D147" i="11"/>
  <c r="D148" i="11"/>
  <c r="D149" i="11"/>
  <c r="D150" i="11"/>
  <c r="D151" i="11"/>
  <c r="D152" i="11"/>
  <c r="D153" i="11"/>
  <c r="D154" i="11"/>
  <c r="D155" i="11"/>
  <c r="D156" i="11"/>
  <c r="D157" i="11"/>
  <c r="D158" i="11"/>
  <c r="D159" i="11"/>
  <c r="D160" i="11"/>
  <c r="D161" i="11"/>
  <c r="D162" i="11"/>
  <c r="D163" i="11"/>
  <c r="D164" i="11"/>
  <c r="D165" i="11"/>
  <c r="D166" i="11"/>
  <c r="D167" i="11"/>
  <c r="D168" i="11"/>
  <c r="D169" i="11"/>
  <c r="D170" i="11"/>
  <c r="D171" i="11"/>
  <c r="D172" i="11"/>
  <c r="D173" i="11"/>
  <c r="D174" i="11"/>
  <c r="D175" i="11"/>
  <c r="D176" i="11"/>
  <c r="D177" i="11"/>
  <c r="D178" i="11"/>
  <c r="D179" i="11"/>
  <c r="D180" i="11"/>
  <c r="D181" i="11"/>
  <c r="D182" i="11"/>
  <c r="D183" i="11"/>
  <c r="D184" i="11"/>
  <c r="D185" i="11"/>
  <c r="D186" i="11"/>
  <c r="D187" i="11"/>
  <c r="D188" i="11"/>
  <c r="D189" i="11"/>
  <c r="D190" i="11"/>
  <c r="D191" i="11"/>
  <c r="D192" i="11"/>
  <c r="D193" i="11"/>
  <c r="D194" i="11"/>
  <c r="D195" i="11"/>
  <c r="D196" i="11"/>
  <c r="D197" i="11"/>
  <c r="D198" i="11"/>
  <c r="D199" i="11"/>
  <c r="D200" i="11"/>
  <c r="D201" i="11"/>
  <c r="D202" i="11"/>
  <c r="D203" i="11"/>
  <c r="D204" i="11"/>
  <c r="D205" i="11"/>
  <c r="D206" i="11"/>
  <c r="D207" i="11"/>
  <c r="D208" i="11"/>
  <c r="D209" i="11"/>
  <c r="D210" i="11"/>
  <c r="D211" i="11"/>
  <c r="D212" i="11"/>
  <c r="D213" i="11"/>
  <c r="D214" i="11"/>
  <c r="D215" i="11"/>
  <c r="D216" i="11"/>
  <c r="D217" i="11"/>
  <c r="D218" i="11"/>
  <c r="D219" i="11"/>
  <c r="D220" i="11"/>
  <c r="D221" i="11"/>
  <c r="D222" i="11"/>
  <c r="D223" i="11"/>
  <c r="D224" i="11"/>
  <c r="D225" i="11"/>
  <c r="D226" i="11"/>
  <c r="D227" i="11"/>
  <c r="D228" i="11"/>
  <c r="D229" i="11"/>
  <c r="D230" i="11"/>
  <c r="D231" i="11"/>
  <c r="D232" i="11"/>
  <c r="D233" i="11"/>
  <c r="D234" i="11"/>
  <c r="D235" i="11"/>
  <c r="D236" i="11"/>
  <c r="D237" i="11"/>
  <c r="D238" i="11"/>
  <c r="D239" i="11"/>
  <c r="D240" i="11"/>
  <c r="D241" i="11"/>
  <c r="D242" i="11"/>
  <c r="D243" i="11"/>
  <c r="D244" i="11"/>
  <c r="D245" i="11"/>
  <c r="D246" i="11"/>
  <c r="D247" i="11"/>
  <c r="D248" i="11"/>
  <c r="D249" i="11"/>
  <c r="D250" i="11"/>
  <c r="D251" i="11"/>
  <c r="D252" i="11"/>
  <c r="D253" i="11"/>
  <c r="D254" i="11"/>
  <c r="D255" i="11"/>
  <c r="D256" i="11"/>
  <c r="D257" i="11"/>
  <c r="D258" i="11"/>
  <c r="D259" i="11"/>
  <c r="D260" i="11"/>
  <c r="D261" i="11"/>
  <c r="D262" i="11"/>
  <c r="D263" i="11"/>
  <c r="D264" i="11"/>
  <c r="D265" i="11"/>
  <c r="D266" i="11"/>
  <c r="D267" i="11"/>
  <c r="D268" i="11"/>
  <c r="D269" i="11"/>
  <c r="D270" i="11"/>
  <c r="D271" i="11"/>
  <c r="D272" i="11"/>
  <c r="D273" i="11"/>
  <c r="D274" i="11"/>
  <c r="D275" i="11"/>
  <c r="D276" i="11"/>
  <c r="D277" i="11"/>
  <c r="D278" i="11"/>
  <c r="D279" i="11"/>
  <c r="D280" i="11"/>
  <c r="D281" i="11"/>
  <c r="D282" i="11"/>
  <c r="D283" i="11"/>
  <c r="D284" i="11"/>
  <c r="D285" i="11"/>
  <c r="D286" i="11"/>
  <c r="D287" i="11"/>
  <c r="D288" i="11"/>
  <c r="D289" i="11"/>
  <c r="D290" i="11"/>
  <c r="D291" i="11"/>
  <c r="D292" i="11"/>
  <c r="D293" i="11"/>
  <c r="D294" i="11"/>
  <c r="D295" i="11"/>
  <c r="D296" i="11"/>
  <c r="D297" i="11"/>
  <c r="D298" i="11"/>
  <c r="D299" i="11"/>
  <c r="D300" i="11"/>
  <c r="D301" i="11"/>
  <c r="D302" i="11"/>
  <c r="D303" i="11"/>
  <c r="D304" i="11"/>
  <c r="D305" i="11"/>
  <c r="D306" i="11"/>
  <c r="D307" i="11"/>
  <c r="D308" i="11"/>
  <c r="D309" i="11"/>
  <c r="D310" i="11"/>
  <c r="D311" i="11"/>
  <c r="D312" i="11"/>
  <c r="D313" i="11"/>
  <c r="D314" i="11"/>
  <c r="D315" i="11"/>
  <c r="D316" i="11"/>
  <c r="D317" i="11"/>
  <c r="D318" i="11"/>
  <c r="D319" i="11"/>
  <c r="D320" i="11"/>
  <c r="D321" i="11"/>
  <c r="D322" i="11"/>
  <c r="D323" i="11"/>
  <c r="D324" i="11"/>
  <c r="D325" i="11"/>
  <c r="D326" i="11"/>
  <c r="D327" i="11"/>
  <c r="D328" i="11"/>
  <c r="D329" i="11"/>
  <c r="D330" i="11"/>
  <c r="D331" i="11"/>
  <c r="D332" i="11"/>
  <c r="D333" i="11"/>
  <c r="D334" i="11"/>
  <c r="D335" i="11"/>
  <c r="D336" i="11"/>
  <c r="D337" i="11"/>
  <c r="D338" i="11"/>
  <c r="D339" i="11"/>
  <c r="D340" i="11"/>
  <c r="D341" i="11"/>
  <c r="D342" i="11"/>
  <c r="D343" i="11"/>
  <c r="D344" i="11"/>
  <c r="D345" i="11"/>
  <c r="D346" i="11"/>
  <c r="D347" i="11"/>
  <c r="D348" i="11"/>
  <c r="D349" i="11"/>
  <c r="D350" i="11"/>
  <c r="D351" i="11"/>
  <c r="D352" i="11"/>
  <c r="D353" i="11"/>
  <c r="D354" i="11"/>
  <c r="D355" i="11"/>
  <c r="D356" i="11"/>
  <c r="D357" i="11"/>
  <c r="D358" i="11"/>
  <c r="D359" i="11"/>
  <c r="D360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C76" i="11"/>
  <c r="C77" i="11"/>
  <c r="C78" i="11"/>
  <c r="C79" i="11"/>
  <c r="C80" i="11"/>
  <c r="C81" i="11"/>
  <c r="C82" i="11"/>
  <c r="C83" i="11"/>
  <c r="C84" i="11"/>
  <c r="C85" i="11"/>
  <c r="C86" i="11"/>
  <c r="C87" i="11"/>
  <c r="C88" i="11"/>
  <c r="C89" i="11"/>
  <c r="C90" i="11"/>
  <c r="C91" i="11"/>
  <c r="C92" i="11"/>
  <c r="C93" i="11"/>
  <c r="C94" i="11"/>
  <c r="C95" i="11"/>
  <c r="C96" i="11"/>
  <c r="C97" i="11"/>
  <c r="C98" i="11"/>
  <c r="C99" i="11"/>
  <c r="C100" i="11"/>
  <c r="C101" i="11"/>
  <c r="C102" i="11"/>
  <c r="C103" i="11"/>
  <c r="C104" i="11"/>
  <c r="C105" i="11"/>
  <c r="C106" i="11"/>
  <c r="C107" i="11"/>
  <c r="C108" i="11"/>
  <c r="C109" i="11"/>
  <c r="C110" i="11"/>
  <c r="C111" i="11"/>
  <c r="C112" i="11"/>
  <c r="C113" i="11"/>
  <c r="C114" i="11"/>
  <c r="C115" i="11"/>
  <c r="C116" i="11"/>
  <c r="C117" i="11"/>
  <c r="C118" i="11"/>
  <c r="C119" i="11"/>
  <c r="C120" i="11"/>
  <c r="C121" i="11"/>
  <c r="C122" i="11"/>
  <c r="C123" i="11"/>
  <c r="C124" i="11"/>
  <c r="C125" i="11"/>
  <c r="C126" i="11"/>
  <c r="C127" i="11"/>
  <c r="C128" i="11"/>
  <c r="C129" i="11"/>
  <c r="C130" i="11"/>
  <c r="C131" i="11"/>
  <c r="C132" i="11"/>
  <c r="C133" i="11"/>
  <c r="C134" i="11"/>
  <c r="C135" i="11"/>
  <c r="C136" i="11"/>
  <c r="C137" i="11"/>
  <c r="C138" i="11"/>
  <c r="C139" i="11"/>
  <c r="C140" i="11"/>
  <c r="C141" i="11"/>
  <c r="C142" i="11"/>
  <c r="C143" i="11"/>
  <c r="C144" i="11"/>
  <c r="C145" i="11"/>
  <c r="C146" i="11"/>
  <c r="C147" i="11"/>
  <c r="C148" i="11"/>
  <c r="C149" i="11"/>
  <c r="C150" i="11"/>
  <c r="C151" i="11"/>
  <c r="C152" i="11"/>
  <c r="C153" i="11"/>
  <c r="C154" i="11"/>
  <c r="C155" i="11"/>
  <c r="C156" i="11"/>
  <c r="C157" i="11"/>
  <c r="C158" i="11"/>
  <c r="C159" i="11"/>
  <c r="C160" i="11"/>
  <c r="C161" i="11"/>
  <c r="C162" i="11"/>
  <c r="C163" i="11"/>
  <c r="C164" i="11"/>
  <c r="C165" i="11"/>
  <c r="C166" i="11"/>
  <c r="C167" i="11"/>
  <c r="C168" i="11"/>
  <c r="C169" i="11"/>
  <c r="C170" i="11"/>
  <c r="C171" i="11"/>
  <c r="C172" i="11"/>
  <c r="C173" i="11"/>
  <c r="C174" i="11"/>
  <c r="C175" i="11"/>
  <c r="C176" i="11"/>
  <c r="C177" i="11"/>
  <c r="C178" i="11"/>
  <c r="C179" i="11"/>
  <c r="C180" i="11"/>
  <c r="C181" i="11"/>
  <c r="C182" i="11"/>
  <c r="C183" i="11"/>
  <c r="C184" i="11"/>
  <c r="C185" i="11"/>
  <c r="C186" i="11"/>
  <c r="C187" i="11"/>
  <c r="C188" i="11"/>
  <c r="C189" i="11"/>
  <c r="C190" i="11"/>
  <c r="C191" i="11"/>
  <c r="C192" i="11"/>
  <c r="C193" i="11"/>
  <c r="C194" i="11"/>
  <c r="C195" i="11"/>
  <c r="C196" i="11"/>
  <c r="C197" i="11"/>
  <c r="C198" i="11"/>
  <c r="C199" i="11"/>
  <c r="C200" i="11"/>
  <c r="C201" i="11"/>
  <c r="C202" i="11"/>
  <c r="C203" i="11"/>
  <c r="C204" i="11"/>
  <c r="C205" i="11"/>
  <c r="C206" i="11"/>
  <c r="C207" i="11"/>
  <c r="C208" i="11"/>
  <c r="C209" i="11"/>
  <c r="C210" i="11"/>
  <c r="C211" i="11"/>
  <c r="C212" i="11"/>
  <c r="C213" i="11"/>
  <c r="C214" i="11"/>
  <c r="C215" i="11"/>
  <c r="C216" i="11"/>
  <c r="C217" i="11"/>
  <c r="C218" i="11"/>
  <c r="C219" i="11"/>
  <c r="C220" i="11"/>
  <c r="C221" i="11"/>
  <c r="C222" i="11"/>
  <c r="C223" i="11"/>
  <c r="C224" i="11"/>
  <c r="C225" i="11"/>
  <c r="C226" i="11"/>
  <c r="C227" i="11"/>
  <c r="C228" i="11"/>
  <c r="C229" i="11"/>
  <c r="C230" i="11"/>
  <c r="C231" i="11"/>
  <c r="C232" i="11"/>
  <c r="C233" i="11"/>
  <c r="C234" i="11"/>
  <c r="C235" i="11"/>
  <c r="C236" i="11"/>
  <c r="C237" i="11"/>
  <c r="C238" i="11"/>
  <c r="C239" i="11"/>
  <c r="C240" i="11"/>
  <c r="C241" i="11"/>
  <c r="C242" i="11"/>
  <c r="C243" i="11"/>
  <c r="C244" i="11"/>
  <c r="C245" i="11"/>
  <c r="C246" i="11"/>
  <c r="C247" i="11"/>
  <c r="C248" i="11"/>
  <c r="C249" i="11"/>
  <c r="C250" i="11"/>
  <c r="C251" i="11"/>
  <c r="C252" i="11"/>
  <c r="C253" i="11"/>
  <c r="C254" i="11"/>
  <c r="C255" i="11"/>
  <c r="C256" i="11"/>
  <c r="C257" i="11"/>
  <c r="C258" i="11"/>
  <c r="C259" i="11"/>
  <c r="C260" i="11"/>
  <c r="C261" i="11"/>
  <c r="C262" i="11"/>
  <c r="C263" i="11"/>
  <c r="C264" i="11"/>
  <c r="C265" i="11"/>
  <c r="C266" i="11"/>
  <c r="C267" i="11"/>
  <c r="C268" i="11"/>
  <c r="C269" i="11"/>
  <c r="C270" i="11"/>
  <c r="C271" i="11"/>
  <c r="C272" i="11"/>
  <c r="C273" i="11"/>
  <c r="C274" i="11"/>
  <c r="C275" i="11"/>
  <c r="C276" i="11"/>
  <c r="C277" i="11"/>
  <c r="C278" i="11"/>
  <c r="C279" i="11"/>
  <c r="C280" i="11"/>
  <c r="C281" i="11"/>
  <c r="C282" i="11"/>
  <c r="C283" i="11"/>
  <c r="C284" i="11"/>
  <c r="C285" i="11"/>
  <c r="C286" i="11"/>
  <c r="C287" i="11"/>
  <c r="C288" i="11"/>
  <c r="C289" i="11"/>
  <c r="C290" i="11"/>
  <c r="C291" i="11"/>
  <c r="C292" i="11"/>
  <c r="C293" i="11"/>
  <c r="C294" i="11"/>
  <c r="C295" i="11"/>
  <c r="C296" i="11"/>
  <c r="C297" i="11"/>
  <c r="C298" i="11"/>
  <c r="C299" i="11"/>
  <c r="C300" i="11"/>
  <c r="C301" i="11"/>
  <c r="C302" i="11"/>
  <c r="C303" i="11"/>
  <c r="C304" i="11"/>
  <c r="C305" i="11"/>
  <c r="C306" i="11"/>
  <c r="C307" i="11"/>
  <c r="C308" i="11"/>
  <c r="C309" i="11"/>
  <c r="C310" i="11"/>
  <c r="C311" i="11"/>
  <c r="C312" i="11"/>
  <c r="C313" i="11"/>
  <c r="C314" i="11"/>
  <c r="C315" i="11"/>
  <c r="C316" i="11"/>
  <c r="C317" i="11"/>
  <c r="C318" i="11"/>
  <c r="C319" i="11"/>
  <c r="C320" i="11"/>
  <c r="C321" i="11"/>
  <c r="C322" i="11"/>
  <c r="C323" i="11"/>
  <c r="C324" i="11"/>
  <c r="C325" i="11"/>
  <c r="C326" i="11"/>
  <c r="C327" i="11"/>
  <c r="C328" i="11"/>
  <c r="C329" i="11"/>
  <c r="C330" i="11"/>
  <c r="C331" i="11"/>
  <c r="C332" i="11"/>
  <c r="C333" i="11"/>
  <c r="C334" i="11"/>
  <c r="C335" i="11"/>
  <c r="C336" i="11"/>
  <c r="C337" i="11"/>
  <c r="C338" i="11"/>
  <c r="C339" i="11"/>
  <c r="C340" i="11"/>
  <c r="C341" i="11"/>
  <c r="C342" i="11"/>
  <c r="C343" i="11"/>
  <c r="C344" i="11"/>
  <c r="C345" i="11"/>
  <c r="C346" i="11"/>
  <c r="C347" i="11"/>
  <c r="C348" i="11"/>
  <c r="C349" i="11"/>
  <c r="C350" i="11"/>
  <c r="C351" i="11"/>
  <c r="C352" i="11"/>
  <c r="C353" i="11"/>
  <c r="C354" i="11"/>
  <c r="C355" i="11"/>
  <c r="C356" i="11"/>
  <c r="C357" i="11"/>
  <c r="C358" i="11"/>
  <c r="C359" i="11"/>
  <c r="C360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B68" i="11"/>
  <c r="B69" i="11"/>
  <c r="B70" i="11"/>
  <c r="B71" i="11"/>
  <c r="B72" i="11"/>
  <c r="B73" i="11"/>
  <c r="B74" i="11"/>
  <c r="B75" i="11"/>
  <c r="B76" i="11"/>
  <c r="B77" i="11"/>
  <c r="B78" i="11"/>
  <c r="B79" i="11"/>
  <c r="B80" i="11"/>
  <c r="B81" i="11"/>
  <c r="B82" i="11"/>
  <c r="B83" i="11"/>
  <c r="B84" i="11"/>
  <c r="B85" i="11"/>
  <c r="B86" i="11"/>
  <c r="B87" i="11"/>
  <c r="B88" i="11"/>
  <c r="B89" i="11"/>
  <c r="B90" i="11"/>
  <c r="B91" i="11"/>
  <c r="B92" i="11"/>
  <c r="B93" i="11"/>
  <c r="B94" i="11"/>
  <c r="B95" i="11"/>
  <c r="B96" i="11"/>
  <c r="B97" i="11"/>
  <c r="B98" i="11"/>
  <c r="B99" i="11"/>
  <c r="B100" i="11"/>
  <c r="B101" i="11"/>
  <c r="B102" i="11"/>
  <c r="B103" i="11"/>
  <c r="B104" i="11"/>
  <c r="B105" i="11"/>
  <c r="B106" i="11"/>
  <c r="B107" i="11"/>
  <c r="B108" i="11"/>
  <c r="B109" i="11"/>
  <c r="B110" i="11"/>
  <c r="B111" i="11"/>
  <c r="B112" i="11"/>
  <c r="B113" i="11"/>
  <c r="B114" i="11"/>
  <c r="B115" i="11"/>
  <c r="B116" i="11"/>
  <c r="B117" i="11"/>
  <c r="B118" i="11"/>
  <c r="B119" i="11"/>
  <c r="B120" i="11"/>
  <c r="B121" i="11"/>
  <c r="B122" i="11"/>
  <c r="B123" i="11"/>
  <c r="B124" i="11"/>
  <c r="B125" i="11"/>
  <c r="B126" i="11"/>
  <c r="B127" i="11"/>
  <c r="B128" i="11"/>
  <c r="B129" i="11"/>
  <c r="B130" i="11"/>
  <c r="B131" i="11"/>
  <c r="B132" i="11"/>
  <c r="B133" i="11"/>
  <c r="B134" i="11"/>
  <c r="B135" i="11"/>
  <c r="B136" i="11"/>
  <c r="B137" i="11"/>
  <c r="B138" i="11"/>
  <c r="B139" i="11"/>
  <c r="B140" i="11"/>
  <c r="B141" i="11"/>
  <c r="B142" i="11"/>
  <c r="B143" i="11"/>
  <c r="B144" i="11"/>
  <c r="B145" i="11"/>
  <c r="B146" i="11"/>
  <c r="B147" i="11"/>
  <c r="B148" i="11"/>
  <c r="B149" i="11"/>
  <c r="B150" i="11"/>
  <c r="B151" i="11"/>
  <c r="B152" i="11"/>
  <c r="B153" i="11"/>
  <c r="B154" i="11"/>
  <c r="B155" i="11"/>
  <c r="B156" i="11"/>
  <c r="B157" i="11"/>
  <c r="B158" i="11"/>
  <c r="B159" i="11"/>
  <c r="B160" i="11"/>
  <c r="B161" i="11"/>
  <c r="B162" i="11"/>
  <c r="B163" i="11"/>
  <c r="B164" i="11"/>
  <c r="B165" i="11"/>
  <c r="B166" i="11"/>
  <c r="B167" i="11"/>
  <c r="B168" i="11"/>
  <c r="B169" i="11"/>
  <c r="B170" i="11"/>
  <c r="B171" i="11"/>
  <c r="B172" i="11"/>
  <c r="B173" i="11"/>
  <c r="B174" i="11"/>
  <c r="B175" i="11"/>
  <c r="B176" i="11"/>
  <c r="B177" i="11"/>
  <c r="B178" i="11"/>
  <c r="B179" i="11"/>
  <c r="B180" i="11"/>
  <c r="B181" i="11"/>
  <c r="B182" i="11"/>
  <c r="B183" i="11"/>
  <c r="B184" i="11"/>
  <c r="B185" i="11"/>
  <c r="B186" i="11"/>
  <c r="B187" i="11"/>
  <c r="B188" i="11"/>
  <c r="B189" i="11"/>
  <c r="B190" i="11"/>
  <c r="B191" i="11"/>
  <c r="B192" i="11"/>
  <c r="B193" i="11"/>
  <c r="B194" i="11"/>
  <c r="B195" i="11"/>
  <c r="B196" i="11"/>
  <c r="B197" i="11"/>
  <c r="B198" i="11"/>
  <c r="B199" i="11"/>
  <c r="B200" i="11"/>
  <c r="B201" i="11"/>
  <c r="B202" i="11"/>
  <c r="B203" i="11"/>
  <c r="B204" i="11"/>
  <c r="B205" i="11"/>
  <c r="B206" i="11"/>
  <c r="B207" i="11"/>
  <c r="B208" i="11"/>
  <c r="B209" i="11"/>
  <c r="B210" i="11"/>
  <c r="B211" i="11"/>
  <c r="B212" i="11"/>
  <c r="B213" i="11"/>
  <c r="B214" i="11"/>
  <c r="B215" i="11"/>
  <c r="B216" i="11"/>
  <c r="B217" i="11"/>
  <c r="B218" i="11"/>
  <c r="B219" i="11"/>
  <c r="B220" i="11"/>
  <c r="B221" i="11"/>
  <c r="B222" i="11"/>
  <c r="B223" i="11"/>
  <c r="B224" i="11"/>
  <c r="B225" i="11"/>
  <c r="B226" i="11"/>
  <c r="B227" i="11"/>
  <c r="B228" i="11"/>
  <c r="B229" i="11"/>
  <c r="B230" i="11"/>
  <c r="B231" i="11"/>
  <c r="B232" i="11"/>
  <c r="B233" i="11"/>
  <c r="B234" i="11"/>
  <c r="B235" i="11"/>
  <c r="B236" i="11"/>
  <c r="B237" i="11"/>
  <c r="B238" i="11"/>
  <c r="B239" i="11"/>
  <c r="B240" i="11"/>
  <c r="B241" i="11"/>
  <c r="B242" i="11"/>
  <c r="B243" i="11"/>
  <c r="B244" i="11"/>
  <c r="B245" i="11"/>
  <c r="B246" i="11"/>
  <c r="B247" i="11"/>
  <c r="B248" i="11"/>
  <c r="B249" i="11"/>
  <c r="B250" i="11"/>
  <c r="B251" i="11"/>
  <c r="B252" i="11"/>
  <c r="B253" i="11"/>
  <c r="B254" i="11"/>
  <c r="B255" i="11"/>
  <c r="B256" i="11"/>
  <c r="B257" i="11"/>
  <c r="B258" i="11"/>
  <c r="B259" i="11"/>
  <c r="B260" i="11"/>
  <c r="B261" i="11"/>
  <c r="B262" i="11"/>
  <c r="B263" i="11"/>
  <c r="B264" i="11"/>
  <c r="B265" i="11"/>
  <c r="B266" i="11"/>
  <c r="B267" i="11"/>
  <c r="B268" i="11"/>
  <c r="B269" i="11"/>
  <c r="B270" i="11"/>
  <c r="B271" i="11"/>
  <c r="B272" i="11"/>
  <c r="B273" i="11"/>
  <c r="B274" i="11"/>
  <c r="B275" i="11"/>
  <c r="B276" i="11"/>
  <c r="B277" i="11"/>
  <c r="B278" i="11"/>
  <c r="B279" i="11"/>
  <c r="B280" i="11"/>
  <c r="B281" i="11"/>
  <c r="B282" i="11"/>
  <c r="B283" i="11"/>
  <c r="B284" i="11"/>
  <c r="B285" i="11"/>
  <c r="B286" i="11"/>
  <c r="B287" i="11"/>
  <c r="B288" i="11"/>
  <c r="B289" i="11"/>
  <c r="B290" i="11"/>
  <c r="B291" i="11"/>
  <c r="B292" i="11"/>
  <c r="B293" i="11"/>
  <c r="B294" i="11"/>
  <c r="B295" i="11"/>
  <c r="B296" i="11"/>
  <c r="B297" i="11"/>
  <c r="B298" i="11"/>
  <c r="B299" i="11"/>
  <c r="B300" i="11"/>
  <c r="B301" i="11"/>
  <c r="B302" i="11"/>
  <c r="B303" i="11"/>
  <c r="B304" i="11"/>
  <c r="B305" i="11"/>
  <c r="B306" i="11"/>
  <c r="B307" i="11"/>
  <c r="B308" i="11"/>
  <c r="B309" i="11"/>
  <c r="B310" i="11"/>
  <c r="B311" i="11"/>
  <c r="B312" i="11"/>
  <c r="B313" i="11"/>
  <c r="B314" i="11"/>
  <c r="B315" i="11"/>
  <c r="B316" i="11"/>
  <c r="B317" i="11"/>
  <c r="B318" i="11"/>
  <c r="B319" i="11"/>
  <c r="B320" i="11"/>
  <c r="B321" i="11"/>
  <c r="B322" i="11"/>
  <c r="B323" i="11"/>
  <c r="B324" i="11"/>
  <c r="B325" i="11"/>
  <c r="B326" i="11"/>
  <c r="B327" i="11"/>
  <c r="B328" i="11"/>
  <c r="B329" i="11"/>
  <c r="B330" i="11"/>
  <c r="B331" i="11"/>
  <c r="B332" i="11"/>
  <c r="B333" i="11"/>
  <c r="B334" i="11"/>
  <c r="B335" i="11"/>
  <c r="B336" i="11"/>
  <c r="B337" i="11"/>
  <c r="B338" i="11"/>
  <c r="B339" i="11"/>
  <c r="B340" i="11"/>
  <c r="B341" i="11"/>
  <c r="B342" i="11"/>
  <c r="B343" i="11"/>
  <c r="B344" i="11"/>
  <c r="B345" i="11"/>
  <c r="B346" i="11"/>
  <c r="B347" i="11"/>
  <c r="B348" i="11"/>
  <c r="B349" i="11"/>
  <c r="B350" i="11"/>
  <c r="B351" i="11"/>
  <c r="B352" i="11"/>
  <c r="B353" i="11"/>
  <c r="B354" i="11"/>
  <c r="B355" i="11"/>
  <c r="B356" i="11"/>
  <c r="B357" i="11"/>
  <c r="B358" i="11"/>
  <c r="B359" i="11"/>
  <c r="B360" i="11"/>
  <c r="N449" i="11" l="1"/>
  <c r="P456" i="11" s="1"/>
  <c r="N450" i="11"/>
  <c r="P450" i="11"/>
  <c r="Q450" i="11" s="1"/>
  <c r="P449" i="11"/>
  <c r="Q449" i="11" s="1"/>
  <c r="P457" i="11" l="1"/>
  <c r="P458" i="11"/>
  <c r="P460" i="11"/>
  <c r="P459" i="11"/>
  <c r="P462" i="11"/>
  <c r="P461" i="11"/>
  <c r="N463" i="11"/>
  <c r="P463" i="11" l="1"/>
  <c r="Q453" i="11"/>
  <c r="Q463" i="11" s="1"/>
</calcChain>
</file>

<file path=xl/sharedStrings.xml><?xml version="1.0" encoding="utf-8"?>
<sst xmlns="http://schemas.openxmlformats.org/spreadsheetml/2006/main" count="8202" uniqueCount="2074">
  <si>
    <t>장비 No</t>
  </si>
  <si>
    <t>사업장</t>
  </si>
  <si>
    <t>상태</t>
  </si>
  <si>
    <t>담당자</t>
  </si>
  <si>
    <t>배치장소</t>
  </si>
  <si>
    <t>배치No</t>
  </si>
  <si>
    <t>규격</t>
  </si>
  <si>
    <t>제작처</t>
  </si>
  <si>
    <t>모델명</t>
  </si>
  <si>
    <t>차대번호</t>
  </si>
  <si>
    <t>년식</t>
  </si>
  <si>
    <t>보험</t>
  </si>
  <si>
    <t>자산처</t>
  </si>
  <si>
    <t>자산등록일</t>
  </si>
  <si>
    <t>임대시작일</t>
  </si>
  <si>
    <t>임대료</t>
  </si>
  <si>
    <t>차량가액</t>
  </si>
  <si>
    <t>CFB30-0001</t>
  </si>
  <si>
    <t>범한_항성</t>
  </si>
  <si>
    <t>임대</t>
  </si>
  <si>
    <t>범한메카텍_항성</t>
  </si>
  <si>
    <t>항성-01</t>
  </si>
  <si>
    <t>주간</t>
  </si>
  <si>
    <t>3.0T</t>
  </si>
  <si>
    <t>클라크</t>
  </si>
  <si>
    <t>EPX30</t>
  </si>
  <si>
    <t>EPX360 2302 9652 KF</t>
  </si>
  <si>
    <t>Y</t>
  </si>
  <si>
    <t>케이엔엘</t>
  </si>
  <si>
    <t>CFB25-0002</t>
  </si>
  <si>
    <t>포엠플러스</t>
  </si>
  <si>
    <t>이승희</t>
  </si>
  <si>
    <t>포엠- 02</t>
  </si>
  <si>
    <t>2.5T</t>
  </si>
  <si>
    <t>EPX25FL</t>
  </si>
  <si>
    <t>EPX360-0310-9959KF</t>
  </si>
  <si>
    <t>N</t>
  </si>
  <si>
    <t>DFO30-0003</t>
  </si>
  <si>
    <t>ZF삭스</t>
  </si>
  <si>
    <t>이상용</t>
  </si>
  <si>
    <t>ZF삭스-03</t>
  </si>
  <si>
    <t>두산</t>
  </si>
  <si>
    <t>D30SE-7</t>
  </si>
  <si>
    <t>FDA0R-2340-06907</t>
  </si>
  <si>
    <t>경남 04노 8341</t>
  </si>
  <si>
    <t>엘소</t>
  </si>
  <si>
    <t>DFO30-0004</t>
  </si>
  <si>
    <t>(주)대동</t>
  </si>
  <si>
    <t>대구 달성공장</t>
  </si>
  <si>
    <t>대동-04</t>
  </si>
  <si>
    <t>D30S-7</t>
  </si>
  <si>
    <t>FDA0W-2340-02154</t>
  </si>
  <si>
    <t>경남 04노 7874</t>
  </si>
  <si>
    <t>DFB20-0005</t>
  </si>
  <si>
    <t>ZF삭스-05</t>
  </si>
  <si>
    <t>2.0T</t>
  </si>
  <si>
    <t>B20S-5</t>
  </si>
  <si>
    <t>FBA07-1380-00856</t>
  </si>
  <si>
    <t>CFB18-0006</t>
  </si>
  <si>
    <t>정비사업부</t>
  </si>
  <si>
    <t>엘소창원공장</t>
  </si>
  <si>
    <t>예비-06</t>
  </si>
  <si>
    <t>1.8T</t>
  </si>
  <si>
    <t>EPX18</t>
  </si>
  <si>
    <t>EPX162-0965-9818KF</t>
  </si>
  <si>
    <t>DFB20-0007</t>
  </si>
  <si>
    <t>ZF삭스-07</t>
  </si>
  <si>
    <t>FBA07-1910-01817</t>
  </si>
  <si>
    <t>CFB18-0008</t>
  </si>
  <si>
    <t>ZF삭스-08</t>
  </si>
  <si>
    <t>EPX162-0962-9818KF</t>
  </si>
  <si>
    <t>DFO30-0009</t>
  </si>
  <si>
    <t>ZF삭스-09</t>
  </si>
  <si>
    <t>FDA0W-2340-02155</t>
  </si>
  <si>
    <t>경남 04노 7875</t>
  </si>
  <si>
    <t>DFO30-0010</t>
  </si>
  <si>
    <t>디와이파워</t>
  </si>
  <si>
    <t>2Y-3</t>
  </si>
  <si>
    <t>FDA0W-2340-02156</t>
  </si>
  <si>
    <t>경남 04노 7876</t>
  </si>
  <si>
    <t>ZF삭스-11</t>
  </si>
  <si>
    <t>입식</t>
  </si>
  <si>
    <t>BR18S-9</t>
  </si>
  <si>
    <t>FRA0T-1380-00458</t>
  </si>
  <si>
    <t>DFO30-0012</t>
  </si>
  <si>
    <t>2Y-4</t>
  </si>
  <si>
    <t>D30S-5</t>
  </si>
  <si>
    <t>FDA06-1000-11364</t>
  </si>
  <si>
    <t>경남 04노5178</t>
  </si>
  <si>
    <t>CFB18-0013</t>
  </si>
  <si>
    <t>ZF삭스-13</t>
  </si>
  <si>
    <t>EPX18FL</t>
  </si>
  <si>
    <t>EPX162-1035-9958KT</t>
  </si>
  <si>
    <t>CFB18-0014</t>
  </si>
  <si>
    <t>ZF삭스-14</t>
  </si>
  <si>
    <t>EPX16</t>
  </si>
  <si>
    <t>EPX162-0340-9651KF</t>
  </si>
  <si>
    <t>CFB20-0015</t>
  </si>
  <si>
    <t>ZF삭스-15</t>
  </si>
  <si>
    <t>EPX20SFL</t>
  </si>
  <si>
    <t>EPX162-3113-9958KF</t>
  </si>
  <si>
    <t>베스텍</t>
  </si>
  <si>
    <t>베스텍-16</t>
  </si>
  <si>
    <t>CRX18FL</t>
  </si>
  <si>
    <t>CRX148-0797-9956KF</t>
  </si>
  <si>
    <t>ZF삭스-17</t>
  </si>
  <si>
    <t>CRX148-0948-9956KF</t>
  </si>
  <si>
    <t>ZF삭스-18</t>
  </si>
  <si>
    <t>CRX148-2936-9956KF</t>
  </si>
  <si>
    <t>CFB18-0019</t>
  </si>
  <si>
    <t>예비-19</t>
  </si>
  <si>
    <t>EPX162-0967-9818KF</t>
  </si>
  <si>
    <t>CTB40-0020</t>
  </si>
  <si>
    <t>ZF삭스-20</t>
  </si>
  <si>
    <t>4.0T</t>
  </si>
  <si>
    <t>CTX470-0439-9812KF</t>
  </si>
  <si>
    <t>CTB40-0021</t>
  </si>
  <si>
    <t>ZF삭스-21</t>
  </si>
  <si>
    <t>좌식</t>
  </si>
  <si>
    <t>CTX470-0902-9812KF</t>
  </si>
  <si>
    <t>TFB25-0022</t>
  </si>
  <si>
    <t>대신 마산공장</t>
  </si>
  <si>
    <t>1공장-1층(용해)</t>
  </si>
  <si>
    <t>대신-마산-22</t>
  </si>
  <si>
    <t>도요다</t>
  </si>
  <si>
    <t>7FB25-49549 V3</t>
  </si>
  <si>
    <t>TFB15-0023</t>
  </si>
  <si>
    <t>1공장-1층</t>
  </si>
  <si>
    <t>대신-마산-23</t>
  </si>
  <si>
    <t>1.5T</t>
  </si>
  <si>
    <t>7FBR15-21135</t>
  </si>
  <si>
    <t>TFB25-0024</t>
  </si>
  <si>
    <t>7FB25-49792 V3</t>
  </si>
  <si>
    <t>TFB10-0025</t>
  </si>
  <si>
    <t>1공장-3층</t>
  </si>
  <si>
    <t>대신-마산-25</t>
  </si>
  <si>
    <t>1.0T</t>
  </si>
  <si>
    <t>7FBRK9-11473 V2.5</t>
  </si>
  <si>
    <t>CFB30-0026</t>
  </si>
  <si>
    <t>2공장-열처리</t>
  </si>
  <si>
    <t>대신-마산-26</t>
  </si>
  <si>
    <t>EPX360-7069-9652KF</t>
  </si>
  <si>
    <t>TFB15-0027</t>
  </si>
  <si>
    <t>2공장-앨리슨</t>
  </si>
  <si>
    <t>대신-마산-27</t>
  </si>
  <si>
    <t>7FBR15-54621 V3</t>
  </si>
  <si>
    <t>CFB18-0028</t>
  </si>
  <si>
    <t>CRX18</t>
  </si>
  <si>
    <t>CRX148-3262-9658KF</t>
  </si>
  <si>
    <t>TFB10-0029</t>
  </si>
  <si>
    <t>1공장-2층</t>
  </si>
  <si>
    <t>대신-마산-29</t>
  </si>
  <si>
    <t>7F3RK10</t>
  </si>
  <si>
    <t>TFB18-0030</t>
  </si>
  <si>
    <t>디에스아이</t>
  </si>
  <si>
    <t>D반</t>
  </si>
  <si>
    <t>대신-DSI-30</t>
  </si>
  <si>
    <t>7FBR18-50359 V3</t>
  </si>
  <si>
    <t>TFB10-0031</t>
  </si>
  <si>
    <t>S반(탬핑)</t>
  </si>
  <si>
    <t>대신-DSI-31</t>
  </si>
  <si>
    <t>7FBRK10-10552 V3</t>
  </si>
  <si>
    <t>TFB25-0032</t>
  </si>
  <si>
    <t>1층</t>
  </si>
  <si>
    <t>대신-DSI-32</t>
  </si>
  <si>
    <t>7FB25-49399 V3</t>
  </si>
  <si>
    <t>TFB15-0033</t>
  </si>
  <si>
    <t>대신-DSI-33</t>
  </si>
  <si>
    <t>7FBRK10-50142 V3</t>
  </si>
  <si>
    <t>EFB18-0034</t>
  </si>
  <si>
    <t>대신-DSI-34</t>
  </si>
  <si>
    <t>TCM</t>
  </si>
  <si>
    <t>FR18-7-82P01858 V3</t>
  </si>
  <si>
    <t>TFB15-0035</t>
  </si>
  <si>
    <t>2층</t>
  </si>
  <si>
    <t>대신-DSI-35</t>
  </si>
  <si>
    <t>7FBR15-14430 V3</t>
  </si>
  <si>
    <t>TFB25-0036</t>
  </si>
  <si>
    <t>경남금속</t>
  </si>
  <si>
    <t>압출5호</t>
  </si>
  <si>
    <t>경남금속-36</t>
  </si>
  <si>
    <t>7FB25</t>
  </si>
  <si>
    <t>7FB25-49347 V3</t>
  </si>
  <si>
    <t>TFB25-0037</t>
  </si>
  <si>
    <t>압출2,3호</t>
  </si>
  <si>
    <t>경남금속-37</t>
  </si>
  <si>
    <t>7FB25-49525 V3</t>
  </si>
  <si>
    <t>TFB15-0038</t>
  </si>
  <si>
    <t>수정반</t>
  </si>
  <si>
    <t>경남금속-38</t>
  </si>
  <si>
    <t>7FBL15</t>
  </si>
  <si>
    <t>7FBL15-21543 V3</t>
  </si>
  <si>
    <t>CFB30-0039</t>
  </si>
  <si>
    <t>자재창고</t>
  </si>
  <si>
    <t>경남금속-39</t>
  </si>
  <si>
    <t>EPX360-0886-9837CNF</t>
  </si>
  <si>
    <t>TFB25-0040</t>
  </si>
  <si>
    <t>용체</t>
  </si>
  <si>
    <t>경남금속-40</t>
  </si>
  <si>
    <t>7FB25-29587 V3</t>
  </si>
  <si>
    <t>CFB30-0041</t>
  </si>
  <si>
    <t>출하</t>
  </si>
  <si>
    <t>경남금속-41</t>
  </si>
  <si>
    <t>EPX360-0885-9837CNF</t>
  </si>
  <si>
    <t>TFB25-0042</t>
  </si>
  <si>
    <t>대신-마산-42</t>
  </si>
  <si>
    <t>7FB25-35402 F3</t>
  </si>
  <si>
    <t>TFB25-0043</t>
  </si>
  <si>
    <t>피막</t>
  </si>
  <si>
    <t>경남금속-43</t>
  </si>
  <si>
    <t>7FB25-43165 V3</t>
  </si>
  <si>
    <t>TFB25-0044</t>
  </si>
  <si>
    <t>7FB25-52118 V3</t>
  </si>
  <si>
    <t>TFB15-0045</t>
  </si>
  <si>
    <t>모노프레임</t>
  </si>
  <si>
    <t>경남금속-45</t>
  </si>
  <si>
    <t>7FB15-57363 V3</t>
  </si>
  <si>
    <t>TFB15-0046</t>
  </si>
  <si>
    <t>대신 창원공장</t>
  </si>
  <si>
    <t>대신-창원-46</t>
  </si>
  <si>
    <t>2교대</t>
  </si>
  <si>
    <t>HFO40-0047</t>
  </si>
  <si>
    <t>경남금속-47</t>
  </si>
  <si>
    <t>현대</t>
  </si>
  <si>
    <t>40DE</t>
  </si>
  <si>
    <t>HHIHFV14JB0000086</t>
  </si>
  <si>
    <t>경남04노5137</t>
  </si>
  <si>
    <t>EFB15-0048</t>
  </si>
  <si>
    <t>표준화공장</t>
  </si>
  <si>
    <t>경남금속-48</t>
  </si>
  <si>
    <t>KOMATSU</t>
  </si>
  <si>
    <t>FB15RS-12-90816 V3</t>
  </si>
  <si>
    <t>EFB15-0049</t>
  </si>
  <si>
    <t>덴소울산공장</t>
  </si>
  <si>
    <t>울산</t>
  </si>
  <si>
    <t>FB15EX-11-811004 V3</t>
  </si>
  <si>
    <t>CFB25-0050</t>
  </si>
  <si>
    <t>경남금속-50</t>
  </si>
  <si>
    <t>EPX25Q</t>
  </si>
  <si>
    <t>TFB15-0051</t>
  </si>
  <si>
    <t>7FBL15-13468 V3 FM</t>
  </si>
  <si>
    <t>CFO30-0052</t>
  </si>
  <si>
    <t>대신-창원-52</t>
  </si>
  <si>
    <t>GTS30KD</t>
  </si>
  <si>
    <t>04노8262</t>
  </si>
  <si>
    <t>CFO30-0053</t>
  </si>
  <si>
    <t>대신-창원-53</t>
  </si>
  <si>
    <t>04노8260</t>
  </si>
  <si>
    <t>CFO30-0054</t>
  </si>
  <si>
    <t>대신-창원-54</t>
  </si>
  <si>
    <t>04노8261</t>
  </si>
  <si>
    <t>CFO30-0055</t>
  </si>
  <si>
    <t>04노8263</t>
  </si>
  <si>
    <t>DFO50-0056</t>
  </si>
  <si>
    <t>5.0T</t>
  </si>
  <si>
    <t>D50SE-7</t>
  </si>
  <si>
    <t>FDB13-1930-00386</t>
  </si>
  <si>
    <t>04노8555</t>
  </si>
  <si>
    <t>DFOA6-0057</t>
  </si>
  <si>
    <t>대한제강</t>
  </si>
  <si>
    <t>신평공장</t>
  </si>
  <si>
    <t>대한제강-57</t>
  </si>
  <si>
    <t>16T</t>
  </si>
  <si>
    <t>D160S-7</t>
  </si>
  <si>
    <t>경남04노8784</t>
  </si>
  <si>
    <t>청운로지스</t>
  </si>
  <si>
    <t>DFOA6-0058</t>
  </si>
  <si>
    <t>D160S-5PLUS</t>
  </si>
  <si>
    <t>FDC04-1650-00057</t>
  </si>
  <si>
    <t>경남04노8789</t>
  </si>
  <si>
    <t>DFOA6-0059</t>
  </si>
  <si>
    <t>녹산공장</t>
  </si>
  <si>
    <t>FDC0B-2290-00085</t>
  </si>
  <si>
    <t>경남04노8785</t>
  </si>
  <si>
    <t>DFOA6-0060</t>
  </si>
  <si>
    <t>김해건기</t>
  </si>
  <si>
    <t>매각</t>
  </si>
  <si>
    <t>DFOA6-0061</t>
  </si>
  <si>
    <t>두산산업차량</t>
  </si>
  <si>
    <t>HFOA6-0062</t>
  </si>
  <si>
    <t>DFO70-0063</t>
  </si>
  <si>
    <t>대한제강-63</t>
  </si>
  <si>
    <t>7.0T</t>
  </si>
  <si>
    <t>D70S-7</t>
  </si>
  <si>
    <t>FDB0V-2340-01607</t>
  </si>
  <si>
    <t>경남04노8786</t>
  </si>
  <si>
    <t>DFO70-0064</t>
  </si>
  <si>
    <t>대한제강-64</t>
  </si>
  <si>
    <t>FDB0V-2340-01614</t>
  </si>
  <si>
    <t>경남04노8787</t>
  </si>
  <si>
    <t>TFB15-0065</t>
  </si>
  <si>
    <t>밀양공장</t>
  </si>
  <si>
    <t>베스텍-65</t>
  </si>
  <si>
    <t>7FBR15</t>
  </si>
  <si>
    <t>7FBR15-53832</t>
  </si>
  <si>
    <t>DFB30-0066</t>
  </si>
  <si>
    <t>베스텍-66</t>
  </si>
  <si>
    <t>B30S-5</t>
  </si>
  <si>
    <t>B30S5-0137</t>
  </si>
  <si>
    <t>베스텍-67</t>
  </si>
  <si>
    <t>미정</t>
  </si>
  <si>
    <t>TASKI</t>
  </si>
  <si>
    <t>swingo 4000</t>
  </si>
  <si>
    <t>7518-6630-10312</t>
  </si>
  <si>
    <t>비앤스틸라</t>
  </si>
  <si>
    <t>비앤스틸라-68</t>
  </si>
  <si>
    <t>BR25S-9</t>
  </si>
  <si>
    <t>FRA0V-1380-00391</t>
  </si>
  <si>
    <t>DFB30-0069</t>
  </si>
  <si>
    <t>비앤스틸라-69</t>
  </si>
  <si>
    <t>B30NS</t>
  </si>
  <si>
    <t>FBA48-3690-000461</t>
  </si>
  <si>
    <t>DFB30-0070</t>
  </si>
  <si>
    <t>비앤스틸라-70</t>
  </si>
  <si>
    <t>FBA48-3690-000322</t>
  </si>
  <si>
    <t>DFO33-0071</t>
  </si>
  <si>
    <t>비앤스틸라-71</t>
  </si>
  <si>
    <t>3.3T</t>
  </si>
  <si>
    <t>D33SE-7</t>
  </si>
  <si>
    <t>FDA0S-2340-02518</t>
  </si>
  <si>
    <t>경남04도5313</t>
  </si>
  <si>
    <t>TFB18-0072</t>
  </si>
  <si>
    <t>산호수출포장</t>
  </si>
  <si>
    <t>산호수출포장-72</t>
  </si>
  <si>
    <t>7FBR18-50696 V3</t>
  </si>
  <si>
    <t>CFO25-0073</t>
  </si>
  <si>
    <t>S25D</t>
  </si>
  <si>
    <t>S232D-0547-10005KF</t>
  </si>
  <si>
    <t>04노8502</t>
  </si>
  <si>
    <t>CFB25-0074</t>
  </si>
  <si>
    <t>EPX360FL 46919959KF</t>
  </si>
  <si>
    <t>CFO35-0075</t>
  </si>
  <si>
    <t>예비-75</t>
  </si>
  <si>
    <t>3.5T</t>
  </si>
  <si>
    <t>FX353D-2</t>
  </si>
  <si>
    <t>CMP450D-1691-9588KF</t>
  </si>
  <si>
    <t>04고7626</t>
  </si>
  <si>
    <t>CFO45-0076</t>
  </si>
  <si>
    <t>산호수출포장-76</t>
  </si>
  <si>
    <t>4.5T</t>
  </si>
  <si>
    <t>C45KD</t>
  </si>
  <si>
    <t>P455D-0216-9964KF</t>
  </si>
  <si>
    <t>04노8358</t>
  </si>
  <si>
    <t>CFO80-0077</t>
  </si>
  <si>
    <t>산호수출포장-77</t>
  </si>
  <si>
    <t>8.0T</t>
  </si>
  <si>
    <t>C80DH</t>
  </si>
  <si>
    <t>P680D-0080-9979KF</t>
  </si>
  <si>
    <t>04노8757</t>
  </si>
  <si>
    <t>CFO35-0078</t>
  </si>
  <si>
    <t>C35KD</t>
  </si>
  <si>
    <t>P455D-0050-9783KF</t>
  </si>
  <si>
    <t>04고8819</t>
  </si>
  <si>
    <t>CFO45-0079</t>
  </si>
  <si>
    <t>산호수출포장-79</t>
  </si>
  <si>
    <t>P455D-0439-9964KF</t>
  </si>
  <si>
    <t>04노5538</t>
  </si>
  <si>
    <t>DFO70-0080</t>
  </si>
  <si>
    <t>D70EV-7PLUS</t>
  </si>
  <si>
    <t>코스</t>
  </si>
  <si>
    <t>DFO70-0081</t>
  </si>
  <si>
    <t>예비-81</t>
  </si>
  <si>
    <t>FDB0V-2610-03745</t>
  </si>
  <si>
    <t>경남04노8758</t>
  </si>
  <si>
    <t>DFO45-0082</t>
  </si>
  <si>
    <t>1Y-2</t>
  </si>
  <si>
    <t>D45SE-7</t>
  </si>
  <si>
    <t>FDB12-1930-01140</t>
  </si>
  <si>
    <t>경남04노8543</t>
  </si>
  <si>
    <t>CFB18-0083</t>
  </si>
  <si>
    <t>이래CS</t>
  </si>
  <si>
    <t>현장-1공장</t>
  </si>
  <si>
    <t>이래CS-83</t>
  </si>
  <si>
    <t>GEX18S</t>
  </si>
  <si>
    <t>GEX162 2759 9675KF</t>
  </si>
  <si>
    <t>CFB18-0084</t>
  </si>
  <si>
    <t>2층-1공장</t>
  </si>
  <si>
    <t>이래CS-84</t>
  </si>
  <si>
    <t>GEX162 2757 9675KF</t>
  </si>
  <si>
    <t>CFB18-0085</t>
  </si>
  <si>
    <t>이래CS-85</t>
  </si>
  <si>
    <t>GEX162-2756-9675KF</t>
  </si>
  <si>
    <t>CFB25-0086</t>
  </si>
  <si>
    <t>항성</t>
  </si>
  <si>
    <t>항성-86</t>
  </si>
  <si>
    <t>EPX25 CNF</t>
  </si>
  <si>
    <t>EPX360-0709-9837CNF</t>
  </si>
  <si>
    <t>CFB25-0087</t>
  </si>
  <si>
    <t>진양</t>
  </si>
  <si>
    <t>진양-87</t>
  </si>
  <si>
    <t>EPX25</t>
  </si>
  <si>
    <t>EPX360-0706-9837CNF</t>
  </si>
  <si>
    <t>오페</t>
  </si>
  <si>
    <t>오페1공장</t>
  </si>
  <si>
    <t>오페-88</t>
  </si>
  <si>
    <t>EPX360-0708-9837CNF</t>
  </si>
  <si>
    <t>CFB30-0089</t>
  </si>
  <si>
    <t>오페-89</t>
  </si>
  <si>
    <t>EPX360-0694-9837CNF</t>
  </si>
  <si>
    <t>CFB30-0090</t>
  </si>
  <si>
    <t>이래CS 2공장</t>
  </si>
  <si>
    <t>기계-2공장</t>
  </si>
  <si>
    <t>이래CS-90</t>
  </si>
  <si>
    <t>EPX360-0617-9837CNF</t>
  </si>
  <si>
    <t>CFB18-0091</t>
  </si>
  <si>
    <t>이래CS-91</t>
  </si>
  <si>
    <t>GEX162-2758-9675KF</t>
  </si>
  <si>
    <t>CFB25-0092</t>
  </si>
  <si>
    <t>EPX360 0707 9837CNF</t>
  </si>
  <si>
    <t>CFB30-0093</t>
  </si>
  <si>
    <t>기계-1공장</t>
  </si>
  <si>
    <t>이래CS-93</t>
  </si>
  <si>
    <t>EPX360 0582 9837CNF</t>
  </si>
  <si>
    <t>엠코</t>
  </si>
  <si>
    <t>김상은</t>
  </si>
  <si>
    <t>검사</t>
  </si>
  <si>
    <t>엠코-94</t>
  </si>
  <si>
    <t>.</t>
  </si>
  <si>
    <t>엠코-95</t>
  </si>
  <si>
    <t>엠코-96</t>
  </si>
  <si>
    <t>DFB25-0097</t>
  </si>
  <si>
    <t>BAT</t>
  </si>
  <si>
    <t>SMD</t>
  </si>
  <si>
    <t>BAT-97</t>
  </si>
  <si>
    <t>B25SE-7</t>
  </si>
  <si>
    <t>FBA36-1910-02417</t>
  </si>
  <si>
    <t>DFO30-0098</t>
  </si>
  <si>
    <t>씨엔엘(세아에샵)</t>
  </si>
  <si>
    <t>정도겸</t>
  </si>
  <si>
    <t>세아에샵</t>
  </si>
  <si>
    <t>D30SE-5</t>
  </si>
  <si>
    <t>FDA06-1850-17616</t>
  </si>
  <si>
    <t>경남04노6359</t>
  </si>
  <si>
    <t>CFB30-0099</t>
  </si>
  <si>
    <t>범한_극동</t>
  </si>
  <si>
    <t>극동티앤에프</t>
  </si>
  <si>
    <t>극동-99</t>
  </si>
  <si>
    <t>GEX30</t>
  </si>
  <si>
    <t>GEX 230-1210-9655 KF</t>
  </si>
  <si>
    <t>플라스틱옴니엄</t>
  </si>
  <si>
    <t>EPX360-6510-9652</t>
  </si>
  <si>
    <t>EFB25-0101</t>
  </si>
  <si>
    <t>예비-101</t>
  </si>
  <si>
    <t>중국</t>
  </si>
  <si>
    <t>25J-15075354</t>
  </si>
  <si>
    <t>베스텍-102</t>
  </si>
  <si>
    <t>FB15RS-12-93341 V3</t>
  </si>
  <si>
    <t>창원엘소</t>
  </si>
  <si>
    <t>창원공장</t>
  </si>
  <si>
    <t>엘소-103</t>
  </si>
  <si>
    <t>BR18S-7</t>
  </si>
  <si>
    <t>FRA03-1370-00580</t>
  </si>
  <si>
    <t>DFO33-0104</t>
  </si>
  <si>
    <t>1Y-1</t>
  </si>
  <si>
    <t>D33S-3</t>
  </si>
  <si>
    <t>D33S3-0119</t>
  </si>
  <si>
    <t>경남04고7097</t>
  </si>
  <si>
    <t>DFO35-0105</t>
  </si>
  <si>
    <t>2Y-5</t>
  </si>
  <si>
    <t>D35S-5</t>
  </si>
  <si>
    <t>FDB01-1240-01871</t>
  </si>
  <si>
    <t>04노5177</t>
  </si>
  <si>
    <t>DFO25-0106</t>
  </si>
  <si>
    <t>예비-106</t>
  </si>
  <si>
    <t>D25S-3</t>
  </si>
  <si>
    <t>D25S3-1495</t>
  </si>
  <si>
    <t>경남04노 8773</t>
  </si>
  <si>
    <t>DFO30-0107</t>
  </si>
  <si>
    <t>에샵-107</t>
  </si>
  <si>
    <t>FDA0R-2340-05062</t>
  </si>
  <si>
    <t>경남04노8493</t>
  </si>
  <si>
    <t>CFO25-0108</t>
  </si>
  <si>
    <t>2Y-2</t>
  </si>
  <si>
    <t>GTS25D</t>
  </si>
  <si>
    <t>GTS232D-0419-9667KF</t>
  </si>
  <si>
    <t>경남04고7625</t>
  </si>
  <si>
    <t>우림기계</t>
  </si>
  <si>
    <t>DFO45-0112</t>
  </si>
  <si>
    <t>1Y-3</t>
  </si>
  <si>
    <t>D45S-3</t>
  </si>
  <si>
    <t>FDB03-1240-02970</t>
  </si>
  <si>
    <t>경남04노5192</t>
  </si>
  <si>
    <t>DFO30-0113</t>
  </si>
  <si>
    <t>FDA06-1000-11561</t>
  </si>
  <si>
    <t>경남04노5191</t>
  </si>
  <si>
    <t>CFO33-0114</t>
  </si>
  <si>
    <t>셰플러</t>
  </si>
  <si>
    <t>이병대</t>
  </si>
  <si>
    <t>1MU설비보존</t>
  </si>
  <si>
    <t>셰플러-114</t>
  </si>
  <si>
    <t>GTS30DS</t>
  </si>
  <si>
    <t>GTS232D 0727 9963KF</t>
  </si>
  <si>
    <t>경남04노7470</t>
  </si>
  <si>
    <t>CFB20-0115</t>
  </si>
  <si>
    <t>엘소-115</t>
  </si>
  <si>
    <t>EPX20</t>
  </si>
  <si>
    <t>EPX 360-4666-9652 KF</t>
  </si>
  <si>
    <t>CFB20-0116</t>
  </si>
  <si>
    <t>1MU B/B열처리</t>
  </si>
  <si>
    <t>셰플러-116</t>
  </si>
  <si>
    <t>EPX162-2121-9958KF</t>
  </si>
  <si>
    <t>CFB20-0117</t>
  </si>
  <si>
    <t>EPX 360-4670-9652 KF</t>
  </si>
  <si>
    <t>DFB18-0118</t>
  </si>
  <si>
    <t>셰플러1공장 T/B 신설</t>
  </si>
  <si>
    <t>셰플러-118</t>
  </si>
  <si>
    <t>B18S-5</t>
  </si>
  <si>
    <t>FBAOC-1380-00264</t>
  </si>
  <si>
    <t>DFB18-0119</t>
  </si>
  <si>
    <t>1MU T/B열처리(신설)</t>
  </si>
  <si>
    <t>셰플러-119</t>
  </si>
  <si>
    <t>FBAOC-1380-00263</t>
  </si>
  <si>
    <t>DFB18-0120</t>
  </si>
  <si>
    <t>예비-120</t>
  </si>
  <si>
    <t>FBAOC-1380-00262</t>
  </si>
  <si>
    <t>CFB20-0121</t>
  </si>
  <si>
    <t>1MU T/B , B/B G1</t>
  </si>
  <si>
    <t>셰플러-121</t>
  </si>
  <si>
    <t>EPX162-2122-9958KF</t>
  </si>
  <si>
    <t>CFB20-0122</t>
  </si>
  <si>
    <t>EPX 360-4667-9652 KF</t>
  </si>
  <si>
    <t xml:space="preserve">1MU B/B조립(자동) </t>
  </si>
  <si>
    <t>셰플러-123</t>
  </si>
  <si>
    <t>CRX205-2252-9559KF</t>
  </si>
  <si>
    <t>1MU T/B조립(증설)</t>
  </si>
  <si>
    <t>셰플러-124</t>
  </si>
  <si>
    <t>T.M.C L&amp;F</t>
  </si>
  <si>
    <t>TR15R</t>
  </si>
  <si>
    <t>TR15R-2103131</t>
  </si>
  <si>
    <t>1MU T/B 연삭</t>
  </si>
  <si>
    <t>셰플러-125</t>
  </si>
  <si>
    <t>1.3T</t>
  </si>
  <si>
    <t>TR13X</t>
  </si>
  <si>
    <t>TR13X-405047</t>
  </si>
  <si>
    <t>EFB15-0126</t>
  </si>
  <si>
    <t>예비-126</t>
  </si>
  <si>
    <t>게이트</t>
  </si>
  <si>
    <t>GR15</t>
  </si>
  <si>
    <t>GR15-1805016</t>
  </si>
  <si>
    <t>5B-7</t>
  </si>
  <si>
    <t>CFB18-0128</t>
  </si>
  <si>
    <t>1MU T/B G1</t>
  </si>
  <si>
    <t>셰플러-128</t>
  </si>
  <si>
    <t>EPX162-2177-9818KF</t>
  </si>
  <si>
    <t>DFB18-0129</t>
  </si>
  <si>
    <t>셰플러-129</t>
  </si>
  <si>
    <t>FBAOC-1380-00265</t>
  </si>
  <si>
    <t>CFB20-0130</t>
  </si>
  <si>
    <t>EPX 360-4668-9652 KF</t>
  </si>
  <si>
    <t>CFB30-0131</t>
  </si>
  <si>
    <t>디와이파워_신아</t>
  </si>
  <si>
    <t>신아테크</t>
  </si>
  <si>
    <t>신아-131</t>
  </si>
  <si>
    <t>GEX 230-1216-9655 KF</t>
  </si>
  <si>
    <t>1MU B/B조립(자동)</t>
  </si>
  <si>
    <t>셰플러-132</t>
  </si>
  <si>
    <t>BR20S-7</t>
  </si>
  <si>
    <t>FRA09-1370-00353</t>
  </si>
  <si>
    <t>DFB25-0133</t>
  </si>
  <si>
    <t>신아-133</t>
  </si>
  <si>
    <t>B25S-5</t>
  </si>
  <si>
    <t>FBA08-1380-02356</t>
  </si>
  <si>
    <t>DFO40-0134</t>
  </si>
  <si>
    <t>3MU생산계획팀</t>
  </si>
  <si>
    <t>D40S-5</t>
  </si>
  <si>
    <t>FDB02-1240-01157</t>
  </si>
  <si>
    <t>경남04노5195</t>
  </si>
  <si>
    <t>DFO45-0135</t>
  </si>
  <si>
    <t>D45S-5</t>
  </si>
  <si>
    <t>FDB03-1240-02969</t>
  </si>
  <si>
    <t>경남04노5193</t>
  </si>
  <si>
    <t>DFO33-0136</t>
  </si>
  <si>
    <t>3MU열처리(소둔)</t>
  </si>
  <si>
    <t>셰플러-136</t>
  </si>
  <si>
    <t>FDA0S-2340-02052</t>
  </si>
  <si>
    <t>경남04노8892</t>
  </si>
  <si>
    <t>DFO45-0137</t>
  </si>
  <si>
    <t>FDB12-1930-01186</t>
  </si>
  <si>
    <t>경남04노8564</t>
  </si>
  <si>
    <t>CFB30-0138</t>
  </si>
  <si>
    <t>2B-2</t>
  </si>
  <si>
    <t>GEX 230-1212-9655 KF</t>
  </si>
  <si>
    <t>CFB30-0139</t>
  </si>
  <si>
    <t>2B-3</t>
  </si>
  <si>
    <t>GEX 230-1213-9655 KF</t>
  </si>
  <si>
    <t>CFB30-0140</t>
  </si>
  <si>
    <t>3B-4</t>
  </si>
  <si>
    <t>GEX 230-1217-9655 KF</t>
  </si>
  <si>
    <t>CFB30-0141</t>
  </si>
  <si>
    <t>2P-6</t>
  </si>
  <si>
    <t>GEX 230-1218-9655 KF</t>
  </si>
  <si>
    <t>GEX 230-1219-9655 KF</t>
  </si>
  <si>
    <t>CFB25-0143</t>
  </si>
  <si>
    <t>EPX360-0105-9959 KF</t>
  </si>
  <si>
    <t>CFB25-0144</t>
  </si>
  <si>
    <t>오페-144</t>
  </si>
  <si>
    <t>EPX360FL-3024-9959 KF</t>
  </si>
  <si>
    <t>DFO45-0145</t>
  </si>
  <si>
    <t>D45S-2</t>
  </si>
  <si>
    <t>D45S-201704</t>
  </si>
  <si>
    <t>경남04도5402</t>
  </si>
  <si>
    <t>DFO45-0146</t>
  </si>
  <si>
    <t>셰플러-146</t>
  </si>
  <si>
    <t>FDB12-1930-00021</t>
  </si>
  <si>
    <t>경남04노7896</t>
  </si>
  <si>
    <t>CFB30-0147</t>
  </si>
  <si>
    <t>2B-1</t>
  </si>
  <si>
    <t>GEX 230-1211-9655 KF</t>
  </si>
  <si>
    <t>DFB25-0148</t>
  </si>
  <si>
    <t>진양-148</t>
  </si>
  <si>
    <t>FBAO8-1380-02355</t>
  </si>
  <si>
    <t>STB20-0149</t>
  </si>
  <si>
    <t>예비-149</t>
  </si>
  <si>
    <t>수성산업</t>
  </si>
  <si>
    <t>SCT2000N</t>
  </si>
  <si>
    <t>SCT200N-CTBHB0002</t>
  </si>
  <si>
    <t>STB20-0150</t>
  </si>
  <si>
    <t>1MU수급물류</t>
  </si>
  <si>
    <t>셰플러-150</t>
  </si>
  <si>
    <t>SCT2000</t>
  </si>
  <si>
    <t>SCT200-CTBHB0001</t>
  </si>
  <si>
    <t>STB20-0151</t>
  </si>
  <si>
    <t>1MU 수급물류</t>
  </si>
  <si>
    <t>셰플러-151</t>
  </si>
  <si>
    <t>SCT200-CTBHB0002</t>
  </si>
  <si>
    <t>STB20-0152</t>
  </si>
  <si>
    <t>셰플러-152</t>
  </si>
  <si>
    <t>SCT200-CTBHB0003</t>
  </si>
  <si>
    <t>STB20-0153</t>
  </si>
  <si>
    <t>셰플러-153</t>
  </si>
  <si>
    <t>SCT200-CTBJB0002</t>
  </si>
  <si>
    <t>DFO30-0154</t>
  </si>
  <si>
    <t>예비-154</t>
  </si>
  <si>
    <t>FDA06-1000-11572</t>
  </si>
  <si>
    <t>04노5190</t>
  </si>
  <si>
    <t>1MU 볼베어링자동포장</t>
  </si>
  <si>
    <t>셰플러-155</t>
  </si>
  <si>
    <t>TR15R-2209162</t>
  </si>
  <si>
    <t>CFB25-0156</t>
  </si>
  <si>
    <t>5B-1</t>
  </si>
  <si>
    <t>EPX360-0305-9959KF</t>
  </si>
  <si>
    <t>5B-5</t>
  </si>
  <si>
    <t>EPX360-0304-9959KF</t>
  </si>
  <si>
    <t>CFB25-0158</t>
  </si>
  <si>
    <t>2P-5</t>
  </si>
  <si>
    <t>EPX360-0308-9959KF</t>
  </si>
  <si>
    <t>CFB20-0159</t>
  </si>
  <si>
    <t>대동-159</t>
  </si>
  <si>
    <t>CRX205-01079957KF</t>
  </si>
  <si>
    <t>CFB25-0160</t>
  </si>
  <si>
    <t>신아-160</t>
  </si>
  <si>
    <t>EPX36018069652KF</t>
  </si>
  <si>
    <t>CFB25-0161</t>
  </si>
  <si>
    <t>오페-161</t>
  </si>
  <si>
    <t>EPX36032249652KF</t>
  </si>
  <si>
    <t>CFB30-0162</t>
  </si>
  <si>
    <t>SNT다이내믹스</t>
  </si>
  <si>
    <t>SNT-162</t>
  </si>
  <si>
    <t>EPX36021199652KF</t>
  </si>
  <si>
    <t>에샵-163</t>
  </si>
  <si>
    <t>예일이큅먼트</t>
  </si>
  <si>
    <t>MR16HD</t>
  </si>
  <si>
    <t>D849T05045S</t>
  </si>
  <si>
    <t>에샵-164</t>
  </si>
  <si>
    <t>D849T05044S</t>
  </si>
  <si>
    <t>에샵-165</t>
  </si>
  <si>
    <t>D30S5-02405</t>
  </si>
  <si>
    <t>경남04도5857</t>
  </si>
  <si>
    <t>DFO30-0166</t>
  </si>
  <si>
    <t>경남04도5856</t>
  </si>
  <si>
    <t>DFO30-0167</t>
  </si>
  <si>
    <t>경남04도5858</t>
  </si>
  <si>
    <t>DFO30-0168</t>
  </si>
  <si>
    <t>FDA06-1000-12094</t>
  </si>
  <si>
    <t>CFO80-0170</t>
  </si>
  <si>
    <t>볼보</t>
  </si>
  <si>
    <t>최수진</t>
  </si>
  <si>
    <t>C80D</t>
  </si>
  <si>
    <t>P680D06059654KF</t>
  </si>
  <si>
    <t>경남04고7725</t>
  </si>
  <si>
    <t>디에스엘</t>
  </si>
  <si>
    <t>CFO45-0171</t>
  </si>
  <si>
    <t>P455D00209783KF</t>
  </si>
  <si>
    <t>경남04고8663</t>
  </si>
  <si>
    <t>CFO45-0172</t>
  </si>
  <si>
    <t>예비-172</t>
  </si>
  <si>
    <t>P455D00419783KF</t>
  </si>
  <si>
    <t>경남04고8775</t>
  </si>
  <si>
    <t>CFO33-0173</t>
  </si>
  <si>
    <t>절단품입고</t>
  </si>
  <si>
    <t>GTS33DE</t>
  </si>
  <si>
    <t>GTS232D11739820KF</t>
  </si>
  <si>
    <t>경남04노5913</t>
  </si>
  <si>
    <t>CFO33-0174</t>
  </si>
  <si>
    <t>GTS232D12889820KF</t>
  </si>
  <si>
    <t>경남04노6034</t>
  </si>
  <si>
    <t>CFO45-0175</t>
  </si>
  <si>
    <t>P455D01379885KF</t>
  </si>
  <si>
    <t>경남04노6035</t>
  </si>
  <si>
    <t>CFO45-0176</t>
  </si>
  <si>
    <t>P455D01659885KF</t>
  </si>
  <si>
    <t>경남04노6173</t>
  </si>
  <si>
    <t>CFO80-0177</t>
  </si>
  <si>
    <t>P680D 00629979KF</t>
  </si>
  <si>
    <t>경남04노8494</t>
  </si>
  <si>
    <t>CFO45-0178</t>
  </si>
  <si>
    <t>중형하부상/하</t>
  </si>
  <si>
    <t>P455D03579964KF</t>
  </si>
  <si>
    <t>경남04도5165</t>
  </si>
  <si>
    <t>CFO45-0179</t>
  </si>
  <si>
    <t>P455D0358996KF</t>
  </si>
  <si>
    <t>경남04도5166</t>
  </si>
  <si>
    <t>CFO45-0180</t>
  </si>
  <si>
    <t>P455D03659964KF</t>
  </si>
  <si>
    <t>경남04도5167</t>
  </si>
  <si>
    <t>GEX50</t>
  </si>
  <si>
    <t>GEX450-0287-9868-KF</t>
  </si>
  <si>
    <t>CFB50-0182</t>
  </si>
  <si>
    <t>GEX450-0378-9868-KF</t>
  </si>
  <si>
    <t>CFB50-0183</t>
  </si>
  <si>
    <t>GEX450-0377-9868-KF</t>
  </si>
  <si>
    <t>GEX450-0698-9868-KF</t>
  </si>
  <si>
    <t>CFB25-0185</t>
  </si>
  <si>
    <t>2P-3</t>
  </si>
  <si>
    <t>CRX25</t>
  </si>
  <si>
    <t>CRX205-1001-9659-KF</t>
  </si>
  <si>
    <t>CFB25-0186</t>
  </si>
  <si>
    <t>5B-2</t>
  </si>
  <si>
    <t>CRX205-1350-9659-KF</t>
  </si>
  <si>
    <t>CFB25-0187</t>
  </si>
  <si>
    <t>SNT-187</t>
  </si>
  <si>
    <t>CRX205-1399-9659-KF</t>
  </si>
  <si>
    <t>CFB25-0188</t>
  </si>
  <si>
    <t>5B-8</t>
  </si>
  <si>
    <t>CRX205-1706-9659-KF</t>
  </si>
  <si>
    <t>CFB25-0189</t>
  </si>
  <si>
    <t>예비</t>
  </si>
  <si>
    <t>CRX205-2290-9659-KF</t>
  </si>
  <si>
    <t>CFB25-0190</t>
  </si>
  <si>
    <t>4B-3</t>
  </si>
  <si>
    <t>CRX205-2289-9659-KF</t>
  </si>
  <si>
    <t>CFB25-0191</t>
  </si>
  <si>
    <t>2P-1</t>
  </si>
  <si>
    <t>CRX205-2308-9659-KF</t>
  </si>
  <si>
    <t>CFB25-0192</t>
  </si>
  <si>
    <t>2P-2</t>
  </si>
  <si>
    <t>CRX205-2309-9659-KF</t>
  </si>
  <si>
    <t>CFB25-0193</t>
  </si>
  <si>
    <t>5B-6</t>
  </si>
  <si>
    <t>CRX25FL</t>
  </si>
  <si>
    <t>CRX205-1102-9957-KF</t>
  </si>
  <si>
    <t>CFB25-0194</t>
  </si>
  <si>
    <t>1B-1</t>
  </si>
  <si>
    <t>CRX205-1106-9957-KF</t>
  </si>
  <si>
    <t>CFB25-0195</t>
  </si>
  <si>
    <t>4B-1</t>
  </si>
  <si>
    <t>CRX205-1195-9957-KF</t>
  </si>
  <si>
    <t>CFB25-0196</t>
  </si>
  <si>
    <t>4B-6</t>
  </si>
  <si>
    <t>CRX205-1197-9957-KF</t>
  </si>
  <si>
    <t>CFB25-0197</t>
  </si>
  <si>
    <t>표준공장(5층)</t>
  </si>
  <si>
    <t>대신-마산-197</t>
  </si>
  <si>
    <t>CRX205-1436-9957-KF</t>
  </si>
  <si>
    <t>CFB25-0198</t>
  </si>
  <si>
    <t>SNT-198</t>
  </si>
  <si>
    <t>CRX205-1435-9957-KF</t>
  </si>
  <si>
    <t>CFB25-0199</t>
  </si>
  <si>
    <t>CRX205-2879-9957-KF</t>
  </si>
  <si>
    <t>CFB25-0200</t>
  </si>
  <si>
    <t>CRX205-2880-9957-KF</t>
  </si>
  <si>
    <t>CFB25-0201</t>
  </si>
  <si>
    <t>CRX205-3870-9957-KF</t>
  </si>
  <si>
    <t>CFB25-0202</t>
  </si>
  <si>
    <t>CRX205-3905-9957-KF</t>
  </si>
  <si>
    <t>ETB15-0203</t>
  </si>
  <si>
    <t>가공BULK</t>
  </si>
  <si>
    <t>T.M.C</t>
  </si>
  <si>
    <t>TPT15X</t>
  </si>
  <si>
    <t>TPT15X2030458</t>
  </si>
  <si>
    <t>ETB15-0204</t>
  </si>
  <si>
    <t>소형BULK</t>
  </si>
  <si>
    <t>TPT15X2030457</t>
  </si>
  <si>
    <t>ETB15-0205</t>
  </si>
  <si>
    <t>GTE20</t>
  </si>
  <si>
    <t>GTEP20-2111102</t>
  </si>
  <si>
    <t>ETB15-0206</t>
  </si>
  <si>
    <t>동명</t>
  </si>
  <si>
    <t>HT15X</t>
  </si>
  <si>
    <t>HT15X-0425</t>
  </si>
  <si>
    <t>CFB25-0207</t>
  </si>
  <si>
    <t>이래CS-207</t>
  </si>
  <si>
    <t>EPX360FL63289959KF</t>
  </si>
  <si>
    <t>CFB25-0208</t>
  </si>
  <si>
    <t>현장-2공장</t>
  </si>
  <si>
    <t>이래CS-208</t>
  </si>
  <si>
    <t>EPX360FL63319959KF</t>
  </si>
  <si>
    <t>CFB25-0209</t>
  </si>
  <si>
    <t>이래CS-209</t>
  </si>
  <si>
    <t>EPX360FL63309959KF</t>
  </si>
  <si>
    <t>CFB25-0210</t>
  </si>
  <si>
    <t>이래CS-210</t>
  </si>
  <si>
    <t>EPX360FL63299959KF</t>
  </si>
  <si>
    <t>CFB20-0211</t>
  </si>
  <si>
    <t>ZF삭스-211</t>
  </si>
  <si>
    <t>EPX20FL</t>
  </si>
  <si>
    <t>EPX360FL63809959KF</t>
  </si>
  <si>
    <t>DFB20-0212</t>
  </si>
  <si>
    <t>B20X-5</t>
  </si>
  <si>
    <t>B20X5-0152</t>
  </si>
  <si>
    <t>DFO30-0213</t>
  </si>
  <si>
    <t>D30SE-9</t>
  </si>
  <si>
    <t>FDA2H-5122-01601</t>
  </si>
  <si>
    <t>004가9536</t>
  </si>
  <si>
    <t>셰플러-214</t>
  </si>
  <si>
    <t>WRX15 00608310CH</t>
  </si>
  <si>
    <t>셰플러-215</t>
  </si>
  <si>
    <t>WRX15 00488310CH</t>
  </si>
  <si>
    <t>DFO33-0216</t>
  </si>
  <si>
    <t>ZF삭스-216</t>
  </si>
  <si>
    <t>D33SE-9</t>
  </si>
  <si>
    <t>FDA2J-5122-00256</t>
  </si>
  <si>
    <t>004가9541</t>
  </si>
  <si>
    <t>DFO33-0217</t>
  </si>
  <si>
    <t>ZF삭스-217</t>
  </si>
  <si>
    <t>FDA2J-5122-00255</t>
  </si>
  <si>
    <t>004가9542</t>
  </si>
  <si>
    <t>DFOA6-0218</t>
  </si>
  <si>
    <t>대한제강-218</t>
  </si>
  <si>
    <t>D160S-9</t>
  </si>
  <si>
    <t>FDC0H-5107-00049</t>
  </si>
  <si>
    <t>004나6211</t>
  </si>
  <si>
    <t>DFO45-0219</t>
  </si>
  <si>
    <t>세아항공방산소재</t>
  </si>
  <si>
    <t>세아항공-219</t>
  </si>
  <si>
    <t>D45SE-9</t>
  </si>
  <si>
    <t>FDB43-5110-00659</t>
  </si>
  <si>
    <t>004나6210</t>
  </si>
  <si>
    <t>DFO70-0220</t>
  </si>
  <si>
    <t>압출</t>
  </si>
  <si>
    <t>세아항공-220</t>
  </si>
  <si>
    <t>D70EV-9</t>
  </si>
  <si>
    <t>FDB21-5111-00630</t>
  </si>
  <si>
    <t>004나6209</t>
  </si>
  <si>
    <t>DFO80-0221</t>
  </si>
  <si>
    <t>주조</t>
  </si>
  <si>
    <t>세아항공-221</t>
  </si>
  <si>
    <t>D80S-9</t>
  </si>
  <si>
    <t>FDB22-5112-00136</t>
  </si>
  <si>
    <t>004나6208</t>
  </si>
  <si>
    <t>SWR-1500L-WRCDE0008</t>
  </si>
  <si>
    <t>셰플러-223</t>
  </si>
  <si>
    <t>SWR-1500L-WRCDE0009</t>
  </si>
  <si>
    <t>셰플러-224</t>
  </si>
  <si>
    <t>SWR-1500L-WRCDE0010</t>
  </si>
  <si>
    <t>CFB50-0225</t>
  </si>
  <si>
    <t>중형 하부 상/하판</t>
  </si>
  <si>
    <t>GEX450-0805-9868 KF</t>
  </si>
  <si>
    <t>CRX205-4242-9957 KF</t>
  </si>
  <si>
    <t>CRX205-4245-9957 KF</t>
  </si>
  <si>
    <t>CRX205-4246-9957 KF</t>
  </si>
  <si>
    <t>CRX205-4248-9957 KF</t>
  </si>
  <si>
    <t>대형 상, 하부 Kit 투입</t>
  </si>
  <si>
    <t>CRX205-4249-9957 KF</t>
  </si>
  <si>
    <t>CRX205-4247-9957 KF</t>
  </si>
  <si>
    <t>CRX205-4251-9957 KF</t>
  </si>
  <si>
    <t>CRX205-4243-9957 KF</t>
  </si>
  <si>
    <t>CRX205-4250-9957 KF</t>
  </si>
  <si>
    <t>CRX205-4252-9957 KF</t>
  </si>
  <si>
    <t>CRX205-4253-9957 KF</t>
  </si>
  <si>
    <t>CRX205-4244-9957 KF</t>
  </si>
  <si>
    <t>DFB25-0238</t>
  </si>
  <si>
    <t>셰플러 안산</t>
  </si>
  <si>
    <t>안산셰플러</t>
  </si>
  <si>
    <t>안산-238</t>
  </si>
  <si>
    <t>FBA36-1910-02765</t>
  </si>
  <si>
    <t>DFB25-0239</t>
  </si>
  <si>
    <t>안산-239</t>
  </si>
  <si>
    <t>FBA36-1910-02766</t>
  </si>
  <si>
    <t>DFB25-0240</t>
  </si>
  <si>
    <t>안산-240</t>
  </si>
  <si>
    <t>FBA36-1910-02767</t>
  </si>
  <si>
    <t>DFB30-0241</t>
  </si>
  <si>
    <t>3공장가공반</t>
  </si>
  <si>
    <t>셰플러-241</t>
  </si>
  <si>
    <t>B30S-7</t>
  </si>
  <si>
    <t>FBA32-1910-01648</t>
  </si>
  <si>
    <t>DFB30-0242</t>
  </si>
  <si>
    <t>2공장생연연삭</t>
  </si>
  <si>
    <t>셰플러-242</t>
  </si>
  <si>
    <t>FBA32-1910-01630</t>
  </si>
  <si>
    <t>DFB30-0243</t>
  </si>
  <si>
    <t>셰플러-243</t>
  </si>
  <si>
    <t>FBA32-1910-01632</t>
  </si>
  <si>
    <t>DFB30-0244</t>
  </si>
  <si>
    <t>셰플러-244</t>
  </si>
  <si>
    <t>FBA32-1910-01634</t>
  </si>
  <si>
    <t>DFB30-0245</t>
  </si>
  <si>
    <t>FBA32-1910-01629</t>
  </si>
  <si>
    <t>DFB30-0246</t>
  </si>
  <si>
    <t>셰플러-246</t>
  </si>
  <si>
    <t>FBA32-1910-01633</t>
  </si>
  <si>
    <t>DFO25-0247</t>
  </si>
  <si>
    <t>2Y-1</t>
  </si>
  <si>
    <t>D25S-7</t>
  </si>
  <si>
    <t>FDA0V-2340-01004</t>
  </si>
  <si>
    <t>004나6224</t>
  </si>
  <si>
    <t>3B-1</t>
  </si>
  <si>
    <t>FRA0T-1380-00682</t>
  </si>
  <si>
    <t>3B-3</t>
  </si>
  <si>
    <t>FRA0T-1380-00683</t>
  </si>
  <si>
    <t>3B-8</t>
  </si>
  <si>
    <t>FRA0T-1380-00681</t>
  </si>
  <si>
    <t>5B-4</t>
  </si>
  <si>
    <t>FRA0R-1380-00680</t>
  </si>
  <si>
    <t>3B-2</t>
  </si>
  <si>
    <t>BR13S-9</t>
  </si>
  <si>
    <t>FRA0R-1380-00127</t>
  </si>
  <si>
    <t>5B-3</t>
  </si>
  <si>
    <t>FRA0R-1380-00128</t>
  </si>
  <si>
    <t>CFB25-0254</t>
  </si>
  <si>
    <t>4B-2</t>
  </si>
  <si>
    <t>EPX360-0839-9837CNF</t>
  </si>
  <si>
    <t>WCP15L</t>
  </si>
  <si>
    <t>WCP15L-0752-8312CM</t>
  </si>
  <si>
    <t>TFB15-0256</t>
  </si>
  <si>
    <t>경남금속-256</t>
  </si>
  <si>
    <t>8FB18-18794</t>
  </si>
  <si>
    <t>CFB25-0257</t>
  </si>
  <si>
    <t>4B-5</t>
  </si>
  <si>
    <t>EPX360-6697-9652KF</t>
  </si>
  <si>
    <t>CFB25-0258</t>
  </si>
  <si>
    <t>4B-4</t>
  </si>
  <si>
    <t>EPX360-0277-9959KF</t>
  </si>
  <si>
    <t>3B-5</t>
  </si>
  <si>
    <t>CRX205-2621-9957KF</t>
  </si>
  <si>
    <t>3B-6</t>
  </si>
  <si>
    <t>CRX205-2620-9957KF</t>
  </si>
  <si>
    <t>3B-7</t>
  </si>
  <si>
    <t>CRX205-1820-9659KF</t>
  </si>
  <si>
    <t>1B-2</t>
  </si>
  <si>
    <t>EPX360-0014-9959KF</t>
  </si>
  <si>
    <t>DFO45-0263</t>
  </si>
  <si>
    <t>2공장소둔</t>
  </si>
  <si>
    <t>셰플러-263</t>
  </si>
  <si>
    <t>FDB43-5110-00836</t>
  </si>
  <si>
    <t>004나6237</t>
  </si>
  <si>
    <t>엘소창원공장(임대)</t>
  </si>
  <si>
    <t>티엠씨 엘앤에프</t>
  </si>
  <si>
    <t>TR15E</t>
  </si>
  <si>
    <t>TR15E-207108</t>
  </si>
  <si>
    <t>엘소창원공장(자산)</t>
  </si>
  <si>
    <t>CFO33-0265</t>
  </si>
  <si>
    <t>출하포장라인</t>
  </si>
  <si>
    <t>ZF삭스-265</t>
  </si>
  <si>
    <t>GTS33H</t>
  </si>
  <si>
    <t>GTS232D 0863 10058 KF</t>
  </si>
  <si>
    <t>004나 7973</t>
  </si>
  <si>
    <t>ZF삭스-266</t>
  </si>
  <si>
    <t>CRX148 4615 9956 KF</t>
  </si>
  <si>
    <t>CFB30-0267</t>
  </si>
  <si>
    <t>S&amp;TC중공업</t>
  </si>
  <si>
    <t>우신-267</t>
  </si>
  <si>
    <t>EPX30FL</t>
  </si>
  <si>
    <t>EPX360FL 69659959KF</t>
  </si>
  <si>
    <t>CFB25-0268</t>
  </si>
  <si>
    <t>Amcor PMR Cylinder</t>
  </si>
  <si>
    <t>엠코-268</t>
  </si>
  <si>
    <t>EPX360FL 68789959KF</t>
  </si>
  <si>
    <t>엠코 PMR실린더</t>
  </si>
  <si>
    <t>엠코-269</t>
  </si>
  <si>
    <t>SWC-1000L</t>
  </si>
  <si>
    <t>WCCDH0001</t>
  </si>
  <si>
    <t>SWR-1300L(특)</t>
  </si>
  <si>
    <t>WRCDH0010</t>
  </si>
  <si>
    <t>엠코-271</t>
  </si>
  <si>
    <t>SWP-2000(특)</t>
  </si>
  <si>
    <t>WPCDH0030</t>
  </si>
  <si>
    <t>WPCDH0031</t>
  </si>
  <si>
    <t>엠코-273</t>
  </si>
  <si>
    <t>SWP-2500(특)</t>
  </si>
  <si>
    <t>WPCDG0044</t>
  </si>
  <si>
    <t>B/B 열처리</t>
  </si>
  <si>
    <t>셰플러-274</t>
  </si>
  <si>
    <t>6NWR-15LAE</t>
  </si>
  <si>
    <t>WRCDJ0022</t>
  </si>
  <si>
    <t>T/B 열처리</t>
  </si>
  <si>
    <t>셰플러-275</t>
  </si>
  <si>
    <t>WRCDJ0023</t>
  </si>
  <si>
    <t>셰플러-276</t>
  </si>
  <si>
    <t>WRCDJ0024</t>
  </si>
  <si>
    <t>T/B 연삭</t>
  </si>
  <si>
    <t>셰플러-277</t>
  </si>
  <si>
    <t>WRCDJ0025</t>
  </si>
  <si>
    <t>CFB25-0278</t>
  </si>
  <si>
    <t>비엔케미컬</t>
  </si>
  <si>
    <t>비엔케미컬-278</t>
  </si>
  <si>
    <t>EPX360FL 70779959KF</t>
  </si>
  <si>
    <t>B/B GI 공정</t>
  </si>
  <si>
    <t>셰플러-279</t>
  </si>
  <si>
    <t>SWR-1500L</t>
  </si>
  <si>
    <t>WRCDL0002</t>
  </si>
  <si>
    <t>CFO33-0280</t>
  </si>
  <si>
    <t>에샵-280</t>
  </si>
  <si>
    <t>GTS33D</t>
  </si>
  <si>
    <t>GTS232D06149819KF</t>
  </si>
  <si>
    <t>004다 6504</t>
  </si>
  <si>
    <t>CFO30-0281</t>
  </si>
  <si>
    <t>코렌스</t>
  </si>
  <si>
    <t>코렌스-281</t>
  </si>
  <si>
    <t>GTS30D</t>
  </si>
  <si>
    <t>GTS232D01819819KF</t>
  </si>
  <si>
    <t>004다 6505</t>
  </si>
  <si>
    <t>CFB25-0282</t>
  </si>
  <si>
    <t>제1공장</t>
  </si>
  <si>
    <t>오페-282</t>
  </si>
  <si>
    <t>FX253BR</t>
  </si>
  <si>
    <t>FB230R-0012-3110RKF</t>
  </si>
  <si>
    <t>CFB25-0283</t>
  </si>
  <si>
    <t>CYL포장(산호수출)</t>
  </si>
  <si>
    <t>산호수출포장-283</t>
  </si>
  <si>
    <t>CRX205-0367-9659-KF</t>
  </si>
  <si>
    <t>CFB25-0284</t>
  </si>
  <si>
    <t>예비-284</t>
  </si>
  <si>
    <t>CER25</t>
  </si>
  <si>
    <t>CER205-0501-9567KF</t>
  </si>
  <si>
    <t>CFB25-0285</t>
  </si>
  <si>
    <t>예비-285</t>
  </si>
  <si>
    <t>FX20B</t>
  </si>
  <si>
    <t>FB230P-0032-4060RKF</t>
  </si>
  <si>
    <t>CFB25-0286</t>
  </si>
  <si>
    <t>FX25BR</t>
  </si>
  <si>
    <t>CFB25-0287</t>
  </si>
  <si>
    <t>2공장-열처리(쇼트)</t>
  </si>
  <si>
    <t>대신-마산-287</t>
  </si>
  <si>
    <t>FX230R-0008-4060RKF</t>
  </si>
  <si>
    <t>CFO25-0288</t>
  </si>
  <si>
    <t>태성이엔지</t>
  </si>
  <si>
    <t>CYL 완성품 출하</t>
  </si>
  <si>
    <t>태성-288</t>
  </si>
  <si>
    <t>S232D 032010005KF</t>
  </si>
  <si>
    <t>경남04노8354</t>
  </si>
  <si>
    <t>CFO25-0289</t>
  </si>
  <si>
    <t>태성-289</t>
  </si>
  <si>
    <t>GTS25H</t>
  </si>
  <si>
    <t>GTS232D081010058KF</t>
  </si>
  <si>
    <t>경남04나7947</t>
  </si>
  <si>
    <t>CFO25-0290</t>
  </si>
  <si>
    <t>CYL 도장물류</t>
  </si>
  <si>
    <t>태성-290</t>
  </si>
  <si>
    <t>GTS25DE</t>
  </si>
  <si>
    <t>GTS232D15859820KF</t>
  </si>
  <si>
    <t>경남04노6321</t>
  </si>
  <si>
    <t>CFO25-0291</t>
  </si>
  <si>
    <t>태성-291</t>
  </si>
  <si>
    <t>S232D 013910005KF</t>
  </si>
  <si>
    <t>경남04노8181</t>
  </si>
  <si>
    <t>CFO25-0292</t>
  </si>
  <si>
    <t>MCV 완성품 출하</t>
  </si>
  <si>
    <t>태성-292</t>
  </si>
  <si>
    <t>GTS232D 23419999KF</t>
  </si>
  <si>
    <t>경남04도5544</t>
  </si>
  <si>
    <t>CFO25-0293</t>
  </si>
  <si>
    <t>대형실린더</t>
  </si>
  <si>
    <t>태성-293</t>
  </si>
  <si>
    <t>GTS232D-1587-9820KF</t>
  </si>
  <si>
    <t>경남04노6322</t>
  </si>
  <si>
    <t>CFB30-0294</t>
  </si>
  <si>
    <t>셰플러-294</t>
  </si>
  <si>
    <t>EPX360FL</t>
  </si>
  <si>
    <t>EPX360FL 72879959KF</t>
  </si>
  <si>
    <t>진양-295</t>
  </si>
  <si>
    <t>8FBR-15</t>
  </si>
  <si>
    <t>8FBR-15-11123</t>
  </si>
  <si>
    <t>조립물류</t>
  </si>
  <si>
    <t>태성-296</t>
  </si>
  <si>
    <t>CRX25 FL</t>
  </si>
  <si>
    <t>CRX205-4651-9957 KF</t>
  </si>
  <si>
    <t>ROD 물류</t>
  </si>
  <si>
    <t>태성-297</t>
  </si>
  <si>
    <t>CRX205-4652-9957 KF</t>
  </si>
  <si>
    <t>실린더 물류</t>
  </si>
  <si>
    <t>태성-298</t>
  </si>
  <si>
    <t>CRX205-4653-9957 KF</t>
  </si>
  <si>
    <t>볼보_콤퍼넌트</t>
  </si>
  <si>
    <t>MCV 부자재 이동</t>
  </si>
  <si>
    <t>볼보(유압)-299</t>
  </si>
  <si>
    <t>CRX205-4654-9957 KF</t>
  </si>
  <si>
    <t>CFB25-0300</t>
  </si>
  <si>
    <t>예비-300</t>
  </si>
  <si>
    <t>없음 - 보험가입 불가</t>
  </si>
  <si>
    <t>CFB25-0301</t>
  </si>
  <si>
    <t>외부-2공장</t>
  </si>
  <si>
    <t>이래CS-301</t>
  </si>
  <si>
    <t>EPX360FL-7485-9959KF</t>
  </si>
  <si>
    <t>CFB25-0302</t>
  </si>
  <si>
    <t>납촉-2공장</t>
  </si>
  <si>
    <t>이래CS-302</t>
  </si>
  <si>
    <t>EPX360FL-7487-9959KF</t>
  </si>
  <si>
    <t>CFB25-0303</t>
  </si>
  <si>
    <t>납촉-1공장</t>
  </si>
  <si>
    <t>이래CS-303</t>
  </si>
  <si>
    <t>EPX360FL-7486-9959KF</t>
  </si>
  <si>
    <t>CFB30-0304</t>
  </si>
  <si>
    <t>산호수출포장-304</t>
  </si>
  <si>
    <t>EPX360FL-7488-9959KF</t>
  </si>
  <si>
    <t>CFB25-0305</t>
  </si>
  <si>
    <t>범한_대성테크</t>
  </si>
  <si>
    <t>범한메카텍_대성테크</t>
  </si>
  <si>
    <t>대성-305</t>
  </si>
  <si>
    <t>EPX25i</t>
  </si>
  <si>
    <t>EPX360i 1328 10010 CNF</t>
  </si>
  <si>
    <t>CFB32-0306</t>
  </si>
  <si>
    <t>엘소-306</t>
  </si>
  <si>
    <t>3.2T</t>
  </si>
  <si>
    <t>EPX32</t>
  </si>
  <si>
    <t>EPX360 3449 9652 KF</t>
  </si>
  <si>
    <t>옴니엄-307</t>
  </si>
  <si>
    <t>FBA08-1910-05501</t>
  </si>
  <si>
    <t>옴니엄-308</t>
  </si>
  <si>
    <t>FBA08-1910-05502</t>
  </si>
  <si>
    <t>옴니엄-309</t>
  </si>
  <si>
    <t>FBA08-1910-05503</t>
  </si>
  <si>
    <t>옴니엄-310</t>
  </si>
  <si>
    <t>B25NS</t>
  </si>
  <si>
    <t>FBA47-3690-00606</t>
  </si>
  <si>
    <t>DFB25-0311</t>
  </si>
  <si>
    <t>FBA08-1910-05899</t>
  </si>
  <si>
    <t>옴니엄-312</t>
  </si>
  <si>
    <t>FBA08-1910-04518</t>
  </si>
  <si>
    <t>옴니엄-313</t>
  </si>
  <si>
    <t>니찌우</t>
  </si>
  <si>
    <t>FBRION-80</t>
  </si>
  <si>
    <t>FBR10N-80</t>
  </si>
  <si>
    <t>셰플러1공장 볼대형 연삭</t>
  </si>
  <si>
    <t>셰플러-314</t>
  </si>
  <si>
    <t>TR15R-2405203</t>
  </si>
  <si>
    <t>CFB30-0315</t>
  </si>
  <si>
    <t>진양-315</t>
  </si>
  <si>
    <t>EPX360FL-7590-9959KF</t>
  </si>
  <si>
    <t>CFB25-0316</t>
  </si>
  <si>
    <t>1MU B/B조립(대형)</t>
  </si>
  <si>
    <t>셰플러-316</t>
  </si>
  <si>
    <t>EPX25I</t>
  </si>
  <si>
    <t>EPX360I-1802-10010 CNF</t>
  </si>
  <si>
    <t>CFB30-0317</t>
  </si>
  <si>
    <t>이래CS-317</t>
  </si>
  <si>
    <t>EPX30I</t>
  </si>
  <si>
    <t>EPX360I-1745-10010CNF</t>
  </si>
  <si>
    <t>CFB25-0318</t>
  </si>
  <si>
    <t>진양-318</t>
  </si>
  <si>
    <t>EPX360FL-7474-9959FL</t>
  </si>
  <si>
    <t>CFB25-0319</t>
  </si>
  <si>
    <t>진양-319</t>
  </si>
  <si>
    <t>EPX360FL-7475-9959KF</t>
  </si>
  <si>
    <t>2MU T/B 자재보급</t>
  </si>
  <si>
    <t>셰플러-320</t>
  </si>
  <si>
    <t>TR13R</t>
  </si>
  <si>
    <t>TR13R-2406205</t>
  </si>
  <si>
    <t>CFB30-0321</t>
  </si>
  <si>
    <t>EPG30</t>
  </si>
  <si>
    <t>EPG358-0129-9579KF</t>
  </si>
  <si>
    <t>004다 8272</t>
  </si>
  <si>
    <t>CFB30-0322</t>
  </si>
  <si>
    <t>대성-322</t>
  </si>
  <si>
    <t>EPX360-4063-9652KF</t>
  </si>
  <si>
    <t>CFB15-0323</t>
  </si>
  <si>
    <t>베스텍-323</t>
  </si>
  <si>
    <t>CRX15</t>
  </si>
  <si>
    <t>CRX148-0350-9658KF</t>
  </si>
  <si>
    <t>CFB20-0324</t>
  </si>
  <si>
    <t>예비-324</t>
  </si>
  <si>
    <t>FX20BR</t>
  </si>
  <si>
    <t>PROTO &amp; PILOT 장비일수있음</t>
  </si>
  <si>
    <t>CFB25-0325</t>
  </si>
  <si>
    <t>예비-325</t>
  </si>
  <si>
    <t>CFB25-0326</t>
  </si>
  <si>
    <t>예비-326</t>
  </si>
  <si>
    <t>CER205-0725-9567KF</t>
  </si>
  <si>
    <t>CFB25-0327</t>
  </si>
  <si>
    <t>CER205-0869-9567KF</t>
  </si>
  <si>
    <t>CFB30-0328</t>
  </si>
  <si>
    <t>범한_카이치코리아</t>
  </si>
  <si>
    <t>EPX360FL 3108 9959KF</t>
  </si>
  <si>
    <t>DFO35-0329</t>
  </si>
  <si>
    <t>B&amp;BIP</t>
  </si>
  <si>
    <t>B&amp;BIP-329</t>
  </si>
  <si>
    <t>D35SE-7</t>
  </si>
  <si>
    <t>FDBOJ-1903-00454</t>
  </si>
  <si>
    <t>004다 8940</t>
  </si>
  <si>
    <t>한양S&amp;C</t>
  </si>
  <si>
    <t>한양-330</t>
  </si>
  <si>
    <t>FDAOR-2340-14731</t>
  </si>
  <si>
    <t>004다 8279</t>
  </si>
  <si>
    <t>2공장</t>
  </si>
  <si>
    <t>2P-4</t>
  </si>
  <si>
    <t>TR15R-2408207</t>
  </si>
  <si>
    <t>CFB25-0332</t>
  </si>
  <si>
    <t>일본통운</t>
  </si>
  <si>
    <t>인천항 동드림물류센터</t>
  </si>
  <si>
    <t>일본-332</t>
  </si>
  <si>
    <t>EPX360FL 7723 9959KF</t>
  </si>
  <si>
    <t>CFB25-0333</t>
  </si>
  <si>
    <t>일본-333</t>
  </si>
  <si>
    <t>CRX205 4897 9957KF</t>
  </si>
  <si>
    <t>CFB25-0334</t>
  </si>
  <si>
    <t>일본-334</t>
  </si>
  <si>
    <t>CRX205 4898 9957KF</t>
  </si>
  <si>
    <t>CFB25-0335</t>
  </si>
  <si>
    <t>SNT-335</t>
  </si>
  <si>
    <t>CRX205-0226-9957KF</t>
  </si>
  <si>
    <t>LTB60-0336</t>
  </si>
  <si>
    <t>셰플러-336</t>
  </si>
  <si>
    <t>6.0T</t>
  </si>
  <si>
    <t>TT150XQ</t>
  </si>
  <si>
    <t>TT150XQ-24102190</t>
  </si>
  <si>
    <t>LTB60-0337</t>
  </si>
  <si>
    <t>T/B 열처리 공정</t>
  </si>
  <si>
    <t>셰플러-337</t>
  </si>
  <si>
    <t>TT150XQ-24102191</t>
  </si>
  <si>
    <t>LTB60-0338</t>
  </si>
  <si>
    <t>조달물류</t>
  </si>
  <si>
    <t>셰플러-338</t>
  </si>
  <si>
    <t>TT150XQ-24102195</t>
  </si>
  <si>
    <t>DFOA6-0339</t>
  </si>
  <si>
    <t>대한제강-339</t>
  </si>
  <si>
    <t>D160S-9FS</t>
  </si>
  <si>
    <t>FDC0H-5107-00174</t>
  </si>
  <si>
    <t>004다9788</t>
  </si>
  <si>
    <t>CFB25-0340</t>
  </si>
  <si>
    <t>베스텍-340</t>
  </si>
  <si>
    <t>CRX205-1997-9957KF</t>
  </si>
  <si>
    <t>LTB60-0341</t>
  </si>
  <si>
    <t>B/B 물류공정</t>
  </si>
  <si>
    <t>셰플러-341</t>
  </si>
  <si>
    <t>TT150XQ-24102196</t>
  </si>
  <si>
    <t>DFOA6-0342</t>
  </si>
  <si>
    <t>세아제강</t>
  </si>
  <si>
    <t>FDC0H-5107-00175</t>
  </si>
  <si>
    <t>004다9791</t>
  </si>
  <si>
    <t>DFOA6-0343</t>
  </si>
  <si>
    <t>FDC0H-5107-00177</t>
  </si>
  <si>
    <t>004다9790</t>
  </si>
  <si>
    <t>TFB25-0344</t>
  </si>
  <si>
    <t>신설라인</t>
  </si>
  <si>
    <t>경남금속-344</t>
  </si>
  <si>
    <t>8FB25</t>
  </si>
  <si>
    <t>8FB25-12337</t>
  </si>
  <si>
    <t>DFB30-0345</t>
  </si>
  <si>
    <t>오페-345</t>
  </si>
  <si>
    <t>FBA09-1910-00009</t>
  </si>
  <si>
    <t>DFB30-0346</t>
  </si>
  <si>
    <t>오페-346</t>
  </si>
  <si>
    <t>FBA09-1910-02474</t>
  </si>
  <si>
    <t>DFO30-0347</t>
  </si>
  <si>
    <t>오페-347</t>
  </si>
  <si>
    <t>D30S5-05754</t>
  </si>
  <si>
    <t>004라6501</t>
  </si>
  <si>
    <t>HFB50-0348</t>
  </si>
  <si>
    <t>대동기어</t>
  </si>
  <si>
    <t>조립반</t>
  </si>
  <si>
    <t>대동기어-348</t>
  </si>
  <si>
    <t>50B-9</t>
  </si>
  <si>
    <t>HHKHB303KG 0000157</t>
  </si>
  <si>
    <t>HFB50-0349</t>
  </si>
  <si>
    <t>대동기어-349</t>
  </si>
  <si>
    <t>HHKHB303H 00000118</t>
  </si>
  <si>
    <t>경운기반</t>
  </si>
  <si>
    <t>대동기어-350</t>
  </si>
  <si>
    <t>7FB25-33364</t>
  </si>
  <si>
    <t>TFB18-0351</t>
  </si>
  <si>
    <t>대동기어-351</t>
  </si>
  <si>
    <t>7FBRS18</t>
  </si>
  <si>
    <t>7FBRS18-51270</t>
  </si>
  <si>
    <t>DFB30-0352</t>
  </si>
  <si>
    <t>입출고 동쪽창고</t>
  </si>
  <si>
    <t>대동기어-352</t>
  </si>
  <si>
    <t>FBA48-3690-01384</t>
  </si>
  <si>
    <t>DFB30-0353</t>
  </si>
  <si>
    <t>동쪽안 경운기반</t>
  </si>
  <si>
    <t>대동기어-353</t>
  </si>
  <si>
    <t>FBA48-3690-01393</t>
  </si>
  <si>
    <t>DFB30-0354</t>
  </si>
  <si>
    <t>대동기어-354</t>
  </si>
  <si>
    <t>FBA48-3690-01632</t>
  </si>
  <si>
    <t>DFO35-0355</t>
  </si>
  <si>
    <t>대동-355</t>
  </si>
  <si>
    <t>D35S-500094</t>
  </si>
  <si>
    <t>004라7003</t>
  </si>
  <si>
    <t>TFB25-0356</t>
  </si>
  <si>
    <t>SNT-356</t>
  </si>
  <si>
    <t>8FB25-10113</t>
  </si>
  <si>
    <t>DFO30-0357</t>
  </si>
  <si>
    <t>대동-357</t>
  </si>
  <si>
    <t>FDA2H-5122-04260</t>
  </si>
  <si>
    <t>DFO30-0358</t>
  </si>
  <si>
    <t>대동-358</t>
  </si>
  <si>
    <t>FDA2H-5122-04262</t>
  </si>
  <si>
    <t>1MU B/B 조립(대형)</t>
  </si>
  <si>
    <t>셰플러-359</t>
  </si>
  <si>
    <t>TR13R-2503217</t>
  </si>
  <si>
    <t>개수 : 규격</t>
  </si>
  <si>
    <t>열 레이블</t>
  </si>
  <si>
    <t>행 레이블</t>
  </si>
  <si>
    <t>총합계</t>
  </si>
  <si>
    <t>1. 예비차량 List</t>
    <phoneticPr fontId="2" type="noConversion"/>
  </si>
  <si>
    <t>운영</t>
    <phoneticPr fontId="2" type="noConversion"/>
  </si>
  <si>
    <t>톤수</t>
    <phoneticPr fontId="2" type="noConversion"/>
  </si>
  <si>
    <t>가동
시간</t>
    <phoneticPr fontId="2" type="noConversion"/>
  </si>
  <si>
    <t>자산등록일</t>
    <phoneticPr fontId="2" type="noConversion"/>
  </si>
  <si>
    <t>임대
시작일</t>
    <phoneticPr fontId="2" type="noConversion"/>
  </si>
  <si>
    <t>차량가액</t>
    <phoneticPr fontId="2" type="noConversion"/>
  </si>
  <si>
    <t>잔존가</t>
    <phoneticPr fontId="2" type="noConversion"/>
  </si>
  <si>
    <t>비   고</t>
    <phoneticPr fontId="2" type="noConversion"/>
  </si>
  <si>
    <t>전동</t>
  </si>
  <si>
    <t>디젤</t>
  </si>
  <si>
    <t>Sum</t>
  </si>
  <si>
    <t>No.</t>
    <phoneticPr fontId="2" type="noConversion"/>
  </si>
  <si>
    <t>K&amp;L
등록</t>
    <phoneticPr fontId="2" type="noConversion"/>
  </si>
  <si>
    <t>제조</t>
    <phoneticPr fontId="2" type="noConversion"/>
  </si>
  <si>
    <t>동력</t>
    <phoneticPr fontId="2" type="noConversion"/>
  </si>
  <si>
    <t>종류</t>
    <phoneticPr fontId="2" type="noConversion"/>
  </si>
  <si>
    <t>차량
등록 No.</t>
    <phoneticPr fontId="2" type="noConversion"/>
  </si>
  <si>
    <t>자산
등록일</t>
    <phoneticPr fontId="2" type="noConversion"/>
  </si>
  <si>
    <t>전동</t>
    <phoneticPr fontId="2" type="noConversion"/>
  </si>
  <si>
    <t>디젤</t>
    <phoneticPr fontId="2" type="noConversion"/>
  </si>
  <si>
    <t>임대시작일
(철수일자)</t>
    <phoneticPr fontId="2" type="noConversion"/>
  </si>
  <si>
    <t>배터리 수명</t>
  </si>
  <si>
    <t>월평균 교체 대상 건수</t>
  </si>
  <si>
    <t>년간</t>
  </si>
  <si>
    <t>보험가입 필요대수</t>
  </si>
  <si>
    <t>6년</t>
  </si>
  <si>
    <t>→ 각 담당자별 Review 필요 &lt;Data 신뢰도 확인이 안되었음&gt;</t>
  </si>
  <si>
    <t>5년</t>
  </si>
  <si>
    <t>4년</t>
  </si>
  <si>
    <t xml:space="preserve">년평균 </t>
  </si>
  <si>
    <t>45~68개</t>
    <phoneticPr fontId="2" type="noConversion"/>
  </si>
  <si>
    <t>※. 폐기 대상차량 9대 포함</t>
    <phoneticPr fontId="2" type="noConversion"/>
  </si>
  <si>
    <t>2. 대체 투입용 차량</t>
    <phoneticPr fontId="2" type="noConversion"/>
  </si>
  <si>
    <t>3. 사업장 예비차량</t>
    <phoneticPr fontId="2" type="noConversion"/>
  </si>
  <si>
    <t>4. 사업장 여유차량</t>
    <phoneticPr fontId="2" type="noConversion"/>
  </si>
  <si>
    <t>대동기어-28</t>
  </si>
  <si>
    <t>고광민</t>
  </si>
  <si>
    <t>D160S-5</t>
  </si>
  <si>
    <t>D160S5-00622</t>
  </si>
  <si>
    <t>경남04노8790</t>
  </si>
  <si>
    <t>D160S5-00664</t>
  </si>
  <si>
    <t>경남04노8791</t>
  </si>
  <si>
    <t>160D</t>
  </si>
  <si>
    <t>FT0410084</t>
  </si>
  <si>
    <t>경남04노8788</t>
  </si>
  <si>
    <t>FDB0V-2610-02432</t>
  </si>
  <si>
    <t>경남04노7894</t>
  </si>
  <si>
    <t>세척반</t>
  </si>
  <si>
    <t>대동기어-122</t>
  </si>
  <si>
    <t>GR15-1805017</t>
  </si>
  <si>
    <t>열처리반</t>
  </si>
  <si>
    <t>대동기어-130</t>
  </si>
  <si>
    <t>예비-331</t>
  </si>
  <si>
    <t>C/B,좌식</t>
    <phoneticPr fontId="2" type="noConversion"/>
  </si>
  <si>
    <t>EPX360-0685-9837CNF</t>
  </si>
  <si>
    <t>범한_대한테크</t>
  </si>
  <si>
    <t>고민서</t>
  </si>
  <si>
    <t>베스텍-142</t>
  </si>
  <si>
    <t>예비-321</t>
  </si>
  <si>
    <t>디와이파워-2공장</t>
  </si>
  <si>
    <t>예비-51</t>
  </si>
  <si>
    <t>디와이파워-임대공장</t>
  </si>
  <si>
    <t>코렌스 모락스 창고</t>
  </si>
  <si>
    <t>TFB25-0350</t>
  </si>
  <si>
    <t>옴니엄-360</t>
  </si>
  <si>
    <t>FBA36-4930-03439</t>
  </si>
  <si>
    <t>004라7009</t>
  </si>
  <si>
    <t>004라7008</t>
  </si>
  <si>
    <t>안산-361</t>
  </si>
  <si>
    <t>RFTL10T-80</t>
  </si>
  <si>
    <t>DFOA2-0362</t>
  </si>
  <si>
    <t>볼보_시작실</t>
  </si>
  <si>
    <t>볼보 시작실</t>
  </si>
  <si>
    <t>볼보(시작)-362</t>
  </si>
  <si>
    <t>12T</t>
  </si>
  <si>
    <t>D120S-9</t>
  </si>
  <si>
    <t>FDC0F-5107-00047</t>
  </si>
  <si>
    <t>CFB30-0363</t>
  </si>
  <si>
    <t>볼보(시작)-363</t>
  </si>
  <si>
    <t>EPX360FL-8070-9959KF</t>
  </si>
  <si>
    <t>CFO50-0364</t>
  </si>
  <si>
    <t>볼보(시작)-364</t>
  </si>
  <si>
    <t>S50KD</t>
  </si>
  <si>
    <t>S455D-02511-0049KF</t>
  </si>
  <si>
    <t>004라7019</t>
  </si>
  <si>
    <t>가공-170</t>
  </si>
  <si>
    <t>가공-174</t>
  </si>
  <si>
    <t>가공-177</t>
  </si>
  <si>
    <t>가공-178</t>
  </si>
  <si>
    <t>가공-179</t>
  </si>
  <si>
    <t>가공-180</t>
  </si>
  <si>
    <t>가공-181</t>
  </si>
  <si>
    <t>가공-182</t>
  </si>
  <si>
    <t>가공-183</t>
  </si>
  <si>
    <t>가공-184</t>
  </si>
  <si>
    <t>가공-199</t>
  </si>
  <si>
    <t>가공-200</t>
  </si>
  <si>
    <t>가공-201</t>
  </si>
  <si>
    <t>가공-202</t>
  </si>
  <si>
    <t>가공-203</t>
  </si>
  <si>
    <t>가공-204</t>
  </si>
  <si>
    <t>가공-205</t>
  </si>
  <si>
    <t>가공-225</t>
  </si>
  <si>
    <t>가공-226</t>
  </si>
  <si>
    <t>가공-227</t>
  </si>
  <si>
    <t>가공-228</t>
  </si>
  <si>
    <t>가공-229</t>
  </si>
  <si>
    <t>가공-230</t>
  </si>
  <si>
    <t>가공-231</t>
  </si>
  <si>
    <t>가공-232</t>
  </si>
  <si>
    <t>가공-233</t>
  </si>
  <si>
    <t>가공-234</t>
  </si>
  <si>
    <t>가공-235</t>
  </si>
  <si>
    <t>가공-236</t>
  </si>
  <si>
    <t>가공-237</t>
  </si>
  <si>
    <t>예비-272</t>
  </si>
  <si>
    <t>004라8380</t>
  </si>
  <si>
    <t>CFO80-0365</t>
  </si>
  <si>
    <t>CWT, Track, Bucket</t>
  </si>
  <si>
    <t>조립-365</t>
  </si>
  <si>
    <t>P680D 00709979KF</t>
  </si>
  <si>
    <t>경남04노8604</t>
  </si>
  <si>
    <t>CFO80-0366</t>
  </si>
  <si>
    <t>Shoe Plate, Link</t>
  </si>
  <si>
    <t>조립-366</t>
  </si>
  <si>
    <t>P680D 00319979KF</t>
  </si>
  <si>
    <t>경남04노7862</t>
  </si>
  <si>
    <t>CFO50-0367</t>
  </si>
  <si>
    <t>중형하부</t>
  </si>
  <si>
    <t>조립-367</t>
  </si>
  <si>
    <t>C50KD</t>
  </si>
  <si>
    <t>P455D 01909964KF</t>
  </si>
  <si>
    <t>경남04노8183</t>
  </si>
  <si>
    <t>CFO45-0368</t>
  </si>
  <si>
    <t>공팔레트 상차</t>
  </si>
  <si>
    <t>조립-368</t>
  </si>
  <si>
    <t>P455D 04479964KF</t>
  </si>
  <si>
    <t>경남04도5590</t>
  </si>
  <si>
    <t>CFO45-0369</t>
  </si>
  <si>
    <t>소형라인</t>
  </si>
  <si>
    <t>조립-369</t>
  </si>
  <si>
    <t>P455D 04409964KF</t>
  </si>
  <si>
    <t>경남04도5530</t>
  </si>
  <si>
    <t>CFO45-0370</t>
  </si>
  <si>
    <t>M2/3 가입고</t>
  </si>
  <si>
    <t>조립-370</t>
  </si>
  <si>
    <t>P455D 04139964KF</t>
  </si>
  <si>
    <t>경남04도5390</t>
  </si>
  <si>
    <t>CFO45-0371</t>
  </si>
  <si>
    <t>보세창고</t>
  </si>
  <si>
    <t>조립-371</t>
  </si>
  <si>
    <t>P455D 03699964KF</t>
  </si>
  <si>
    <t>경남04도5180</t>
  </si>
  <si>
    <t>CFO45-0372</t>
  </si>
  <si>
    <t>조립-372</t>
  </si>
  <si>
    <t>P455D 02739964KF</t>
  </si>
  <si>
    <t>경남04노8600</t>
  </si>
  <si>
    <t>CFO45-0373</t>
  </si>
  <si>
    <t>공팔레트 이동</t>
  </si>
  <si>
    <t>조립-373</t>
  </si>
  <si>
    <t>P455D 02689964KF</t>
  </si>
  <si>
    <t>경남04노8601</t>
  </si>
  <si>
    <t>CFO45-0374</t>
  </si>
  <si>
    <t>Engine 하역</t>
  </si>
  <si>
    <t>조립-374</t>
  </si>
  <si>
    <t>P455D 02709964KF</t>
  </si>
  <si>
    <t>경남04노8602</t>
  </si>
  <si>
    <t>CFO45-0375</t>
  </si>
  <si>
    <t>CKD 대차 이동</t>
  </si>
  <si>
    <t>조립-375</t>
  </si>
  <si>
    <t>P455D 02719964KF</t>
  </si>
  <si>
    <t>경남04노8603</t>
  </si>
  <si>
    <t>CFO45-0376</t>
  </si>
  <si>
    <t>조립-376</t>
  </si>
  <si>
    <t>P455D 01529964KF</t>
  </si>
  <si>
    <t>경남04노7857</t>
  </si>
  <si>
    <t>CFO45-0377</t>
  </si>
  <si>
    <t>M36 가입고</t>
  </si>
  <si>
    <t>조립-377</t>
  </si>
  <si>
    <t>P455D 01539964KF</t>
  </si>
  <si>
    <t>경남04노7858</t>
  </si>
  <si>
    <t>CFO33-0378</t>
  </si>
  <si>
    <t>S33D</t>
  </si>
  <si>
    <t>S232D 090210005KF</t>
  </si>
  <si>
    <t>경남04도5196</t>
  </si>
  <si>
    <t>CFO33-0379</t>
  </si>
  <si>
    <t>SP라인_내자부품</t>
  </si>
  <si>
    <t>조립-379</t>
  </si>
  <si>
    <t>S232D 014110005KF</t>
  </si>
  <si>
    <t>경남04노8192</t>
  </si>
  <si>
    <t>CFO33-0380</t>
  </si>
  <si>
    <t>KIT 색출 및 이동</t>
  </si>
  <si>
    <t>조립-380</t>
  </si>
  <si>
    <t>S232D 014610005KF</t>
  </si>
  <si>
    <t>경남04노8193</t>
  </si>
  <si>
    <t>CFO33-0381</t>
  </si>
  <si>
    <t>외자폐기물/공팔레트</t>
  </si>
  <si>
    <t>조립-381</t>
  </si>
  <si>
    <t>S232D 014810005KF</t>
  </si>
  <si>
    <t>경남04노8194</t>
  </si>
  <si>
    <t>CFO33-0382</t>
  </si>
  <si>
    <t>외자가입고</t>
  </si>
  <si>
    <t>조립-382</t>
  </si>
  <si>
    <t>GTS232D 14179963KF</t>
  </si>
  <si>
    <t>경남04노7860</t>
  </si>
  <si>
    <t>CFO33-0383</t>
  </si>
  <si>
    <t>Cover장</t>
  </si>
  <si>
    <t>조립-383</t>
  </si>
  <si>
    <t>GTS232D 14209963KF</t>
  </si>
  <si>
    <t>경남04노7861</t>
  </si>
  <si>
    <t>조립-384</t>
  </si>
  <si>
    <t>GEX450-0743-9868-KF</t>
  </si>
  <si>
    <t>조립-385</t>
  </si>
  <si>
    <t>GEX450-0620-9868 KF</t>
  </si>
  <si>
    <t>CFB50-0386</t>
  </si>
  <si>
    <t>대형라인</t>
  </si>
  <si>
    <t>조립-386</t>
  </si>
  <si>
    <t>GEX450-0456-9868 KF</t>
  </si>
  <si>
    <t>조립-387</t>
  </si>
  <si>
    <t>GEX45</t>
  </si>
  <si>
    <t>GEX450-0451-9868 KF</t>
  </si>
  <si>
    <t>조립-388</t>
  </si>
  <si>
    <t>GEX450-0360-9868 KF</t>
  </si>
  <si>
    <t>초대형/SP라인_외자부품</t>
  </si>
  <si>
    <t>조립-389</t>
  </si>
  <si>
    <t>CFB25-0390</t>
  </si>
  <si>
    <t>소형가입고</t>
  </si>
  <si>
    <t>조립-390</t>
  </si>
  <si>
    <t>CRX205-4013-9957-KF</t>
  </si>
  <si>
    <t>CFB25-0391</t>
  </si>
  <si>
    <t>조립-391</t>
  </si>
  <si>
    <t>CRX205-3546-9957-KF</t>
  </si>
  <si>
    <t>CFB25-0392</t>
  </si>
  <si>
    <t>대형하부</t>
  </si>
  <si>
    <t>조립-392</t>
  </si>
  <si>
    <t>CRX205-3547-9957-KF</t>
  </si>
  <si>
    <t>CFB25-0393</t>
  </si>
  <si>
    <t>DPF, Urea tank</t>
  </si>
  <si>
    <t>조립-393</t>
  </si>
  <si>
    <t>CRX205-3548-9957-KF</t>
  </si>
  <si>
    <t>CFB25-0394</t>
  </si>
  <si>
    <t>중형가입고</t>
  </si>
  <si>
    <t>조립-394</t>
  </si>
  <si>
    <t>CRX205-3251-9957-KF</t>
  </si>
  <si>
    <t>CFB25-0395</t>
  </si>
  <si>
    <t>외자창고</t>
  </si>
  <si>
    <t>조립-395</t>
  </si>
  <si>
    <t>CRX205-3194-9957-KF</t>
  </si>
  <si>
    <t>CFB25-0396</t>
  </si>
  <si>
    <t>대형상부</t>
  </si>
  <si>
    <t>조립-396</t>
  </si>
  <si>
    <t>CRX205-3195-9957-KF</t>
  </si>
  <si>
    <t>CFB25-0397</t>
  </si>
  <si>
    <t>초대형하부</t>
  </si>
  <si>
    <t>조립-397</t>
  </si>
  <si>
    <t>CRX205-3153-9957KF</t>
  </si>
  <si>
    <t>CFB25-0398</t>
  </si>
  <si>
    <t>대형라인_Tank 등</t>
  </si>
  <si>
    <t>조립-398</t>
  </si>
  <si>
    <t>CRX205-1998-9957KF</t>
  </si>
  <si>
    <t>CFB25-0399</t>
  </si>
  <si>
    <t>중형 ATT~Bucket</t>
  </si>
  <si>
    <t>조립-399</t>
  </si>
  <si>
    <t>CRX205-1999-9957KF</t>
  </si>
  <si>
    <t>CFB25-0400</t>
  </si>
  <si>
    <t>Bottom sub</t>
  </si>
  <si>
    <t>조립-400</t>
  </si>
  <si>
    <t>CRX205-2000-9957KF</t>
  </si>
  <si>
    <t>CFB25-0401</t>
  </si>
  <si>
    <t>Engine Common</t>
  </si>
  <si>
    <t>조립-401</t>
  </si>
  <si>
    <t>CRX205-2001-9957KF</t>
  </si>
  <si>
    <t>CFB25-0402</t>
  </si>
  <si>
    <t>대형가입고</t>
  </si>
  <si>
    <t>조립-402</t>
  </si>
  <si>
    <t>CRX205-1418-9957KF</t>
  </si>
  <si>
    <t>CFB25-0403</t>
  </si>
  <si>
    <t>조립-403</t>
  </si>
  <si>
    <t>CRX205-1419-9957KF</t>
  </si>
  <si>
    <t>CFB25-0404</t>
  </si>
  <si>
    <t>중형외자 Picking</t>
  </si>
  <si>
    <t>조립-404</t>
  </si>
  <si>
    <t>CRX205-1421-9957KF</t>
  </si>
  <si>
    <t>CFB25-0405</t>
  </si>
  <si>
    <t>초대형상부</t>
  </si>
  <si>
    <t>조립-405</t>
  </si>
  <si>
    <t>CRX205-1422-9957KF</t>
  </si>
  <si>
    <t>CFB25-0406</t>
  </si>
  <si>
    <t>중형 Hub장 Picking</t>
  </si>
  <si>
    <t>조립-406</t>
  </si>
  <si>
    <t>CRX205-1423-9957KF</t>
  </si>
  <si>
    <t>CFB25-0407</t>
  </si>
  <si>
    <t>대형ATT</t>
  </si>
  <si>
    <t>조립-407</t>
  </si>
  <si>
    <t>CRX205-1289-9957KF</t>
  </si>
  <si>
    <t>M36가입고</t>
  </si>
  <si>
    <t>조립-408</t>
  </si>
  <si>
    <t>CRX205-1329-9957KF</t>
  </si>
  <si>
    <t>CFB25-0409</t>
  </si>
  <si>
    <t>소형라인_2</t>
  </si>
  <si>
    <t>조립-409</t>
  </si>
  <si>
    <t>CRX205-1186-9957KF</t>
  </si>
  <si>
    <t>CFB25-0410</t>
  </si>
  <si>
    <t>중형상부</t>
  </si>
  <si>
    <t>조립-410</t>
  </si>
  <si>
    <t>CRX205-2080-9659KF</t>
  </si>
  <si>
    <t>CFB25-0411</t>
  </si>
  <si>
    <t>중형 Radiator Picking</t>
  </si>
  <si>
    <t>조립-411</t>
  </si>
  <si>
    <t>CRX205-2078-9659KF</t>
  </si>
  <si>
    <t>CFB25-0412</t>
  </si>
  <si>
    <t>조립-412</t>
  </si>
  <si>
    <t>CRX205-2079-9659KF</t>
  </si>
  <si>
    <t>CFB25-0413</t>
  </si>
  <si>
    <t>소형외자</t>
  </si>
  <si>
    <t>조립-413</t>
  </si>
  <si>
    <t>CRX205-2076-9659KF</t>
  </si>
  <si>
    <t>CFB25-0414</t>
  </si>
  <si>
    <t>조립-414</t>
  </si>
  <si>
    <t xml:space="preserve">CRX205-2077-9659KF </t>
  </si>
  <si>
    <t>CFB25-0415</t>
  </si>
  <si>
    <t>Spare part</t>
  </si>
  <si>
    <t>조립-415</t>
  </si>
  <si>
    <t>CRX205-1978-9659KF</t>
  </si>
  <si>
    <t>CTX470</t>
  </si>
  <si>
    <t>CTX470-0126-9812KF</t>
  </si>
  <si>
    <t>외자_중형/Bottom</t>
  </si>
  <si>
    <t>조립-417</t>
  </si>
  <si>
    <t>CTX470-0140-9812KF</t>
  </si>
  <si>
    <t>CTX470-0142-9812KF</t>
  </si>
  <si>
    <t>중형 PTL</t>
  </si>
  <si>
    <t>조립-419</t>
  </si>
  <si>
    <t>CTX470-0143-9812KF</t>
  </si>
  <si>
    <t>조립-420</t>
  </si>
  <si>
    <t>CTX470-0169-9812KF</t>
  </si>
  <si>
    <t>CTX470-0168-9812KF</t>
  </si>
  <si>
    <t>외자_대형라인</t>
  </si>
  <si>
    <t>조립-422</t>
  </si>
  <si>
    <t>CTX470-0167-9812KF</t>
  </si>
  <si>
    <t>대형 PTL</t>
  </si>
  <si>
    <t>조립-423</t>
  </si>
  <si>
    <t>CTX470-0191-9812KF</t>
  </si>
  <si>
    <t>CKD Boom/Arm 이동</t>
  </si>
  <si>
    <t>조립-424</t>
  </si>
  <si>
    <t>SST-12K</t>
  </si>
  <si>
    <t>STBIG0002</t>
  </si>
  <si>
    <t>EFB25-0425</t>
  </si>
  <si>
    <t>Engine picking</t>
  </si>
  <si>
    <t>조립-425</t>
  </si>
  <si>
    <t>크라운</t>
  </si>
  <si>
    <t>RR5725</t>
  </si>
  <si>
    <t>1A385022</t>
  </si>
  <si>
    <t>CFB25-0426</t>
  </si>
  <si>
    <t>EV라인 부품 투입</t>
  </si>
  <si>
    <t>조립-426</t>
  </si>
  <si>
    <t>CFO45-0427</t>
  </si>
  <si>
    <t>제품출하</t>
  </si>
  <si>
    <t>출하-427</t>
  </si>
  <si>
    <t>FX45D-2</t>
  </si>
  <si>
    <t>CMP450D20599588KF</t>
  </si>
  <si>
    <t>경남04고7887</t>
  </si>
  <si>
    <t>HFOA6-0428</t>
  </si>
  <si>
    <t>출하-428</t>
  </si>
  <si>
    <t>160D-7E</t>
  </si>
  <si>
    <t>HHIHFT08VB0000410</t>
  </si>
  <si>
    <t>경남04노5104</t>
  </si>
  <si>
    <t>출하-429</t>
  </si>
  <si>
    <t>트랙터</t>
  </si>
  <si>
    <t>2025-07-04일
기준</t>
    <phoneticPr fontId="2" type="noConversion"/>
  </si>
  <si>
    <t>EOBB3-0430</t>
  </si>
  <si>
    <t>EOO45-0431</t>
  </si>
  <si>
    <t>출하차량운송</t>
  </si>
  <si>
    <t>출하-430</t>
  </si>
  <si>
    <t>조립물류지원</t>
  </si>
  <si>
    <t>조립-431</t>
  </si>
  <si>
    <t>트럭</t>
  </si>
  <si>
    <t>17T</t>
  </si>
  <si>
    <t>23T</t>
  </si>
  <si>
    <t>케이앤씨정공</t>
  </si>
  <si>
    <t>23톤가변저상</t>
  </si>
  <si>
    <t>KN9ENEZTZMKC6G001</t>
  </si>
  <si>
    <t>경남82사9045</t>
  </si>
  <si>
    <t>한국쓰리축</t>
  </si>
  <si>
    <t>4.5톤윙바디</t>
  </si>
  <si>
    <t>KLTJCKH2GK000008</t>
  </si>
  <si>
    <t>부산93아6059</t>
  </si>
  <si>
    <t>청운</t>
  </si>
  <si>
    <t xml:space="preserve"> </t>
  </si>
  <si>
    <t>JY테크</t>
  </si>
  <si>
    <t>씨앤엘오에스</t>
  </si>
  <si>
    <t>예비-328</t>
  </si>
  <si>
    <t>922E-00638</t>
  </si>
  <si>
    <t>CFB32-0389</t>
  </si>
  <si>
    <t>EPX32FL</t>
  </si>
  <si>
    <t>EPX360FL-3130-9959KF</t>
  </si>
  <si>
    <t>EPX360FL-6307-9959KF</t>
  </si>
  <si>
    <t>XCIENT</t>
  </si>
  <si>
    <t>KMEKC18KPPC033276</t>
  </si>
  <si>
    <t>경남99바5296</t>
  </si>
  <si>
    <t>계약처</t>
    <phoneticPr fontId="2" type="noConversion"/>
  </si>
  <si>
    <t>상태</t>
    <phoneticPr fontId="2" type="noConversion"/>
  </si>
  <si>
    <t>지게차 창고</t>
  </si>
  <si>
    <t>예비-78</t>
  </si>
  <si>
    <t>예비-134</t>
  </si>
  <si>
    <t>예비-168</t>
  </si>
  <si>
    <t>예비-175</t>
  </si>
  <si>
    <t>예비-176</t>
  </si>
  <si>
    <t>예비-206</t>
  </si>
  <si>
    <t>예비-213</t>
  </si>
  <si>
    <t>셰플러-222</t>
  </si>
  <si>
    <t>에샵-378</t>
  </si>
  <si>
    <t>예비-418</t>
  </si>
  <si>
    <t>예비-421</t>
  </si>
  <si>
    <t>김한경</t>
  </si>
  <si>
    <t>→ 2.5톤 엔진 단기 대체차량 활용</t>
  </si>
  <si>
    <t>→ 세아항공방산소재 대체운용 차량</t>
  </si>
  <si>
    <t>→ 1.8T~2T 장비 대체운용 차량</t>
  </si>
  <si>
    <t>→ 2.5T~3.0T 사이 장비 대체운용 차량</t>
    <phoneticPr fontId="2" type="noConversion"/>
  </si>
  <si>
    <t>→볼보(코스) 철수대상차량</t>
  </si>
  <si>
    <t>→볼보(코스) 철수대상차량</t>
    <phoneticPr fontId="2" type="noConversion"/>
  </si>
  <si>
    <t>핸드</t>
    <phoneticPr fontId="2" type="noConversion"/>
  </si>
  <si>
    <t>견인</t>
    <phoneticPr fontId="2" type="noConversion"/>
  </si>
  <si>
    <t>5. 폐기/매각 대상 차량 (부품 활용 장비)</t>
    <phoneticPr fontId="2" type="noConversion"/>
  </si>
  <si>
    <t>7FBL15-13468 V3 FM</t>
    <phoneticPr fontId="2" type="noConversion"/>
  </si>
  <si>
    <t>7FBL15</t>
    <phoneticPr fontId="2" type="noConversion"/>
  </si>
  <si>
    <t>OPmobility</t>
  </si>
  <si>
    <t>옴니엄-432</t>
  </si>
  <si>
    <t>FBA36-4930-03566</t>
  </si>
  <si>
    <t>(주)알맥</t>
  </si>
  <si>
    <t>FDC0B-2290-00084</t>
  </si>
  <si>
    <t>CFB25-0088</t>
  </si>
  <si>
    <t>예비-100</t>
  </si>
  <si>
    <t>CFB25-0157</t>
  </si>
  <si>
    <t>CFB50-0181</t>
  </si>
  <si>
    <t>DFB25-0307</t>
  </si>
  <si>
    <t>DFB25-0308</t>
  </si>
  <si>
    <t>DFB25-0309</t>
  </si>
  <si>
    <t>DFB25-0310</t>
  </si>
  <si>
    <t>DFB25-0312</t>
  </si>
  <si>
    <t>NFB10-0313</t>
  </si>
  <si>
    <t>DFB25-0360</t>
  </si>
  <si>
    <t>CFB50-0384</t>
  </si>
  <si>
    <t>CFB50-0385</t>
  </si>
  <si>
    <t>CFB45-0387</t>
  </si>
  <si>
    <t>CFB45-0388</t>
  </si>
  <si>
    <t>DFB25-0432</t>
  </si>
  <si>
    <t>→덴소 마산공장 투입 검토중</t>
    <phoneticPr fontId="2" type="noConversion"/>
  </si>
  <si>
    <t>KNL 예비 차량 현황</t>
    <phoneticPr fontId="2" type="noConversion"/>
  </si>
  <si>
    <t>Ton</t>
    <phoneticPr fontId="2" type="noConversion"/>
  </si>
  <si>
    <t>예비차량</t>
    <phoneticPr fontId="2" type="noConversion"/>
  </si>
  <si>
    <t>대체 투입용 차량</t>
    <phoneticPr fontId="2" type="noConversion"/>
  </si>
  <si>
    <t>폐기/매각 대기차량</t>
    <phoneticPr fontId="2" type="noConversion"/>
  </si>
  <si>
    <t>좌식</t>
    <phoneticPr fontId="2" type="noConversion"/>
  </si>
  <si>
    <t>입식</t>
    <phoneticPr fontId="2" type="noConversion"/>
  </si>
  <si>
    <t>1.5T</t>
    <phoneticPr fontId="2" type="noConversion"/>
  </si>
  <si>
    <t>1.8T</t>
    <phoneticPr fontId="2" type="noConversion"/>
  </si>
  <si>
    <t>2.5T</t>
    <phoneticPr fontId="2" type="noConversion"/>
  </si>
  <si>
    <t>3.0T</t>
    <phoneticPr fontId="2" type="noConversion"/>
  </si>
  <si>
    <t>3.5T</t>
    <phoneticPr fontId="2" type="noConversion"/>
  </si>
  <si>
    <t>4.0T</t>
    <phoneticPr fontId="2" type="noConversion"/>
  </si>
  <si>
    <t>4.5T</t>
    <phoneticPr fontId="2" type="noConversion"/>
  </si>
  <si>
    <t>5.0T</t>
    <phoneticPr fontId="2" type="noConversion"/>
  </si>
  <si>
    <t>7.0T</t>
    <phoneticPr fontId="2" type="noConversion"/>
  </si>
  <si>
    <t>※. 참고자료 [ 케이앤엘 예비차량 Summary ]</t>
    <phoneticPr fontId="2" type="noConversion"/>
  </si>
  <si>
    <t>2025-09-23일
기준</t>
    <phoneticPr fontId="2" type="noConversion"/>
  </si>
  <si>
    <t>2.0T</t>
    <phoneticPr fontId="2" type="noConversion"/>
  </si>
  <si>
    <t>사업장 예비차량</t>
    <phoneticPr fontId="2" type="noConversion"/>
  </si>
  <si>
    <t>구분</t>
    <phoneticPr fontId="2" type="noConversion"/>
  </si>
  <si>
    <t>장비대수</t>
    <phoneticPr fontId="2" type="noConversion"/>
  </si>
  <si>
    <t>총 보유대수</t>
    <phoneticPr fontId="2" type="noConversion"/>
  </si>
  <si>
    <t>대체차량</t>
    <phoneticPr fontId="2" type="noConversion"/>
  </si>
  <si>
    <t>폐기/매각 차량</t>
    <phoneticPr fontId="2" type="noConversion"/>
  </si>
  <si>
    <t>합계</t>
    <phoneticPr fontId="2" type="noConversion"/>
  </si>
  <si>
    <t>신흥철재코리아 주식회사</t>
  </si>
  <si>
    <t>폐기</t>
  </si>
  <si>
    <t>울산창고-49</t>
  </si>
  <si>
    <t>한화</t>
  </si>
  <si>
    <t>대신-창원-166</t>
  </si>
  <si>
    <t>한화 사외창고(포장)</t>
  </si>
  <si>
    <t>한화-286</t>
  </si>
  <si>
    <t>FB230R-0055-4100RKF</t>
  </si>
  <si>
    <t>대한-343</t>
  </si>
  <si>
    <t>조립-416</t>
  </si>
  <si>
    <t>TFB25-0433</t>
  </si>
  <si>
    <t>승산팩</t>
  </si>
  <si>
    <t>승산팩-433</t>
  </si>
  <si>
    <t>8FBH25</t>
  </si>
  <si>
    <t>8FBH25-13751 F4.5</t>
  </si>
  <si>
    <t>TFB25-0434</t>
  </si>
  <si>
    <t>승산팩-434</t>
  </si>
  <si>
    <t>8FB25-24278 V4</t>
  </si>
  <si>
    <t>TFB25-0435</t>
  </si>
  <si>
    <t>승산팩-435</t>
  </si>
  <si>
    <t>8FBH25-25908 V3</t>
  </si>
  <si>
    <t>TFB25-0436</t>
  </si>
  <si>
    <t>승산팩-436</t>
  </si>
  <si>
    <t>8FB25-29536 V3</t>
  </si>
  <si>
    <t>TFB25-0437</t>
  </si>
  <si>
    <t>승산팩-437</t>
  </si>
  <si>
    <t>8FBH25-18404 V3</t>
  </si>
  <si>
    <t>TFB15-0438</t>
  </si>
  <si>
    <t>승산팩-438</t>
  </si>
  <si>
    <t>8FB18</t>
  </si>
  <si>
    <t>8FB18-28826 F4.3</t>
  </si>
  <si>
    <t>CFO30-0439</t>
  </si>
  <si>
    <t>승산팩-439</t>
  </si>
  <si>
    <t xml:space="preserve">GTS232D-1701-9963 KF </t>
  </si>
  <si>
    <t>승산팩-44</t>
  </si>
  <si>
    <t>승산팩-74</t>
  </si>
  <si>
    <t>승산팩-143</t>
  </si>
  <si>
    <t>승산팩-311</t>
  </si>
  <si>
    <t>CTB70-0416</t>
  </si>
  <si>
    <t>CTB70-0417</t>
  </si>
  <si>
    <t>CTB70-0419</t>
  </si>
  <si>
    <t>CTB70-0422</t>
  </si>
  <si>
    <t>CTB70-0423</t>
  </si>
  <si>
    <t>CTBA2-0424</t>
  </si>
  <si>
    <t>트랙터</t>
    <phoneticPr fontId="2" type="noConversion"/>
  </si>
  <si>
    <t>트래일러</t>
    <phoneticPr fontId="2" type="noConversion"/>
  </si>
  <si>
    <t>CFB25-0100</t>
    <phoneticPr fontId="2" type="noConversion"/>
  </si>
  <si>
    <t>Year</t>
    <phoneticPr fontId="2" type="noConversion"/>
  </si>
  <si>
    <t>보함사</t>
    <phoneticPr fontId="2" type="noConversion"/>
  </si>
  <si>
    <t>계약자</t>
    <phoneticPr fontId="2" type="noConversion"/>
  </si>
  <si>
    <t>피보험자</t>
    <phoneticPr fontId="2" type="noConversion"/>
  </si>
  <si>
    <t>KB</t>
  </si>
  <si>
    <t>(주)항성</t>
  </si>
  <si>
    <t>㈜엘소</t>
  </si>
  <si>
    <t>㈜청운</t>
  </si>
  <si>
    <t>㈜케이앤엘</t>
  </si>
  <si>
    <t>(주)제트에프삭스코</t>
  </si>
  <si>
    <t>케이앤엘</t>
  </si>
  <si>
    <t>(주)엘소</t>
  </si>
  <si>
    <t>(주)다윈즈</t>
  </si>
  <si>
    <t>(주)코스</t>
  </si>
  <si>
    <t>녹산공장-예비</t>
  </si>
  <si>
    <t>예비-59</t>
  </si>
  <si>
    <t>㈜케이앤엘,㈜베스텍</t>
  </si>
  <si>
    <t>비엔스텔라㈜녹산공장</t>
  </si>
  <si>
    <t>산호피엔엘</t>
  </si>
  <si>
    <t>(주)씨엔엘오에스</t>
  </si>
  <si>
    <t>(주)씨앤엘오에스</t>
  </si>
  <si>
    <t>(주)하얀</t>
  </si>
  <si>
    <t>삼성화재</t>
  </si>
  <si>
    <t>CFB25-0100</t>
  </si>
  <si>
    <t>(주)청운HR</t>
  </si>
  <si>
    <t>메리츠</t>
  </si>
  <si>
    <t>(주)엘소,(주)청운HR</t>
  </si>
  <si>
    <t>㈜씨앤엘오에스</t>
  </si>
  <si>
    <t>(주)엘소,자동차보험</t>
  </si>
  <si>
    <t>(주)청운에이치알</t>
  </si>
  <si>
    <t>㈜코스</t>
  </si>
  <si>
    <t>(주)행크스,셰플러 안산</t>
  </si>
  <si>
    <t>㈜엘소,셰플러코리아</t>
  </si>
  <si>
    <t>셰플러코리아</t>
  </si>
  <si>
    <t>㈜엘소,㈜청운에이치알</t>
  </si>
  <si>
    <t>대성테크</t>
  </si>
  <si>
    <t>㈜오피모빌리티</t>
  </si>
  <si>
    <t>㈜이레</t>
  </si>
  <si>
    <t>제이와이테크</t>
  </si>
  <si>
    <t>대한-342</t>
  </si>
  <si>
    <t>트럭</t>
    <phoneticPr fontId="2" type="noConversion"/>
  </si>
  <si>
    <t>* 3단마스트, 에어컨 미 장착, 튜부타이어</t>
    <phoneticPr fontId="2" type="noConversion"/>
  </si>
  <si>
    <t>* 2단 표준마스트, 에어컨 미 장착, 튜부타이어</t>
    <phoneticPr fontId="2" type="noConversion"/>
  </si>
  <si>
    <t>→ 알맥 사천 공장 투입검토</t>
    <phoneticPr fontId="2" type="noConversion"/>
  </si>
  <si>
    <t>기타</t>
    <phoneticPr fontId="2" type="noConversion"/>
  </si>
  <si>
    <t>16T</t>
    <phoneticPr fontId="2" type="noConversion"/>
  </si>
  <si>
    <t>DFB18-0011</t>
  </si>
  <si>
    <t>CFB18-0016</t>
  </si>
  <si>
    <t>CFB18-0017</t>
  </si>
  <si>
    <t>CFB18-0018</t>
  </si>
  <si>
    <t>견인</t>
  </si>
  <si>
    <t>7FBR15-50942 V3.5</t>
  </si>
  <si>
    <t>GTS232D-0161-9996KF</t>
  </si>
  <si>
    <t>GTS232D-0163-9996KF</t>
  </si>
  <si>
    <t>GTS232D-0164-9996KF</t>
  </si>
  <si>
    <t>GTS232D-0162-9996KF</t>
  </si>
  <si>
    <t>EOB00-0067</t>
  </si>
  <si>
    <t>청소차</t>
  </si>
  <si>
    <t>DFB25-0068</t>
  </si>
  <si>
    <t>EHB00-0094</t>
  </si>
  <si>
    <t>핸드리프트</t>
  </si>
  <si>
    <t>EHB00-0095</t>
  </si>
  <si>
    <t>EHB00-0096</t>
  </si>
  <si>
    <t>EFB15-0102</t>
  </si>
  <si>
    <t>DFB18-0103</t>
  </si>
  <si>
    <t>EOB00-0110</t>
  </si>
  <si>
    <t>EOB00-0111</t>
  </si>
  <si>
    <t>(주)창원중장비에이엠센터</t>
  </si>
  <si>
    <t>CFB20-0123</t>
  </si>
  <si>
    <t>EHB15-0124</t>
  </si>
  <si>
    <t>EHB13-0125</t>
  </si>
  <si>
    <t>EHB15-0126</t>
  </si>
  <si>
    <t>EHB15-0127</t>
  </si>
  <si>
    <t>DFB20-0132</t>
  </si>
  <si>
    <t>EHB15-0155</t>
  </si>
  <si>
    <t>(주)청운</t>
  </si>
  <si>
    <t>SNT - 유풍</t>
  </si>
  <si>
    <t>ESB15-0163</t>
  </si>
  <si>
    <t>하이리치</t>
  </si>
  <si>
    <t>ESB15-0164</t>
  </si>
  <si>
    <t>D30S-3</t>
  </si>
  <si>
    <t>D30S3-9209</t>
  </si>
  <si>
    <t>D30S3-1971</t>
  </si>
  <si>
    <t>SNT - CC정밀</t>
  </si>
  <si>
    <t>SNT - 복승</t>
  </si>
  <si>
    <t>운반</t>
  </si>
  <si>
    <t>CHB20-0214</t>
  </si>
  <si>
    <t>CHB20-0215</t>
  </si>
  <si>
    <t>SHB15-0222</t>
  </si>
  <si>
    <t>SHB15-0223</t>
  </si>
  <si>
    <t>SHB15-0224</t>
  </si>
  <si>
    <t>CFB25-0226</t>
  </si>
  <si>
    <t>CFB25-0227</t>
  </si>
  <si>
    <t>CFB25-0228</t>
  </si>
  <si>
    <t>CFB25-0229</t>
  </si>
  <si>
    <t>CFB25-0230</t>
  </si>
  <si>
    <t>CFB25-0231</t>
  </si>
  <si>
    <t>CFB25-0232</t>
  </si>
  <si>
    <t>CFB25-0233</t>
  </si>
  <si>
    <t>CFB25-0234</t>
  </si>
  <si>
    <t>CFB25-0235</t>
  </si>
  <si>
    <t>CFB25-0236</t>
  </si>
  <si>
    <t>CFB25-0237</t>
  </si>
  <si>
    <t>DFB18-0248</t>
  </si>
  <si>
    <t>DFB18-0249</t>
  </si>
  <si>
    <t>DFB18-0250</t>
  </si>
  <si>
    <t>DFB18-0251</t>
  </si>
  <si>
    <t>DFB15-0252</t>
  </si>
  <si>
    <t>DFB15-0253</t>
  </si>
  <si>
    <t>CHB15-0255</t>
  </si>
  <si>
    <t>핸드파레트</t>
  </si>
  <si>
    <t>CFB25-0259</t>
  </si>
  <si>
    <t>CFB25-0260</t>
  </si>
  <si>
    <t>CFB25-0261</t>
  </si>
  <si>
    <t>LHB15-0264</t>
  </si>
  <si>
    <t>CFB18-0266</t>
  </si>
  <si>
    <t>SNT - 우신</t>
  </si>
  <si>
    <t>SHB10-0269</t>
  </si>
  <si>
    <t>SHB20-0271</t>
  </si>
  <si>
    <t>SHB20-0272</t>
  </si>
  <si>
    <t>SHB25-0273</t>
  </si>
  <si>
    <t>SHB15-0274</t>
  </si>
  <si>
    <t>SHB15-0275</t>
  </si>
  <si>
    <t>SHB15-0276</t>
  </si>
  <si>
    <t>SHB15-0277</t>
  </si>
  <si>
    <t>SHB15-0279</t>
  </si>
  <si>
    <t>TFB15-0295</t>
  </si>
  <si>
    <t>CFB25-0296</t>
  </si>
  <si>
    <t>CFB25-0297</t>
  </si>
  <si>
    <t>CFB25-0298</t>
  </si>
  <si>
    <t>CFB25-0299</t>
  </si>
  <si>
    <t>LHB15-0314</t>
  </si>
  <si>
    <t>LHB13-0320</t>
  </si>
  <si>
    <t>LHB15-0331</t>
  </si>
  <si>
    <t>SNT - 보전상사</t>
  </si>
  <si>
    <t>주주산업</t>
  </si>
  <si>
    <t>미래산업</t>
  </si>
  <si>
    <t>LHB13-0359</t>
  </si>
  <si>
    <t>NSB10-0361</t>
  </si>
  <si>
    <t>삼방향</t>
  </si>
  <si>
    <t>CTB70-0418</t>
  </si>
  <si>
    <t>CTB70-0420</t>
  </si>
  <si>
    <t>CTB70-0421</t>
  </si>
  <si>
    <t>HOOA7-0429</t>
  </si>
  <si>
    <t>트래일러</t>
  </si>
  <si>
    <t>004라9663</t>
  </si>
  <si>
    <t>핸드리프트</t>
    <phoneticPr fontId="2" type="noConversion"/>
  </si>
  <si>
    <t>핸드파레트</t>
    <phoneticPr fontId="2" type="noConversion"/>
  </si>
  <si>
    <t>LHB15-0331</t>
    <phoneticPr fontId="2" type="noConversion"/>
  </si>
  <si>
    <t>ETB15-0206</t>
    <phoneticPr fontId="2" type="noConversion"/>
  </si>
  <si>
    <t>CTB70-0418</t>
    <phoneticPr fontId="2" type="noConversion"/>
  </si>
  <si>
    <t>CTB70-0421</t>
    <phoneticPr fontId="2" type="noConversion"/>
  </si>
  <si>
    <t>물류개선,장비관리</t>
  </si>
  <si>
    <t>가공-73</t>
  </si>
  <si>
    <t>대체</t>
  </si>
  <si>
    <t>대물류 공정간 이동</t>
  </si>
  <si>
    <t>조립물류 투입</t>
  </si>
  <si>
    <t>조립-173</t>
  </si>
  <si>
    <t>절단품 하역</t>
  </si>
  <si>
    <t>대형/초대형 상.하부 투입</t>
  </si>
  <si>
    <t>대물류 이동</t>
  </si>
  <si>
    <t>반도장 상.하부</t>
  </si>
  <si>
    <t>중.대형 붐암</t>
  </si>
  <si>
    <t>대형 상.하부 하역</t>
  </si>
  <si>
    <t>조립BULK</t>
  </si>
  <si>
    <t>대형 암 Line Kit</t>
  </si>
  <si>
    <t>입고품정리, 대형암 투입</t>
  </si>
  <si>
    <t>중형 붐 A.B Line Kit</t>
  </si>
  <si>
    <t>대형 상부 Assy Kit</t>
  </si>
  <si>
    <t>중형 상부 투입(주.야)</t>
  </si>
  <si>
    <t>중형 하부 입고품 정리</t>
  </si>
  <si>
    <t>중형 하부 보강 Kit</t>
  </si>
  <si>
    <t>중형 상부 1차 Kit(주.야)</t>
  </si>
  <si>
    <t>중형 암 Kit</t>
  </si>
  <si>
    <t>중형 상부 2차 Side Kit</t>
  </si>
  <si>
    <t>가공 Bulk PTL</t>
  </si>
  <si>
    <t>중형 상부 2차</t>
  </si>
  <si>
    <t>CAB이동</t>
  </si>
  <si>
    <t>보세창고 상하차</t>
  </si>
  <si>
    <t>YOKE 순서작업</t>
  </si>
  <si>
    <t>Block Sub</t>
  </si>
  <si>
    <t>운반</t>
    <phoneticPr fontId="2" type="noConversion"/>
  </si>
  <si>
    <r>
      <t>예비차량</t>
    </r>
    <r>
      <rPr>
        <b/>
        <sz val="20"/>
        <color theme="1"/>
        <rFont val="맑은 고딕"/>
        <family val="3"/>
        <charset val="129"/>
        <scheme val="minor"/>
      </rPr>
      <t xml:space="preserve"> 현황 _</t>
    </r>
    <r>
      <rPr>
        <b/>
        <sz val="20"/>
        <color rgb="FF0000FF"/>
        <rFont val="맑은 고딕"/>
        <family val="3"/>
        <charset val="129"/>
        <scheme val="minor"/>
      </rPr>
      <t xml:space="preserve"> 2025. 11월 20일 현재</t>
    </r>
    <phoneticPr fontId="2" type="noConversion"/>
  </si>
  <si>
    <t>삼방향</t>
    <phoneticPr fontId="2" type="noConversion"/>
  </si>
  <si>
    <t>하이리치</t>
    <phoneticPr fontId="2" type="noConversion"/>
  </si>
  <si>
    <t>청소차</t>
    <phoneticPr fontId="2" type="noConversion"/>
  </si>
  <si>
    <t>미래중기(주)</t>
  </si>
  <si>
    <t>신화임대공장</t>
  </si>
  <si>
    <t>DFO30-0330</t>
  </si>
  <si>
    <t>CFB25-0408</t>
  </si>
  <si>
    <t>세아항공-81</t>
  </si>
  <si>
    <t>예비-92</t>
  </si>
  <si>
    <t>㈜엘소창원공장</t>
  </si>
  <si>
    <t>예비-117</t>
  </si>
  <si>
    <t>대신-DSI-212</t>
  </si>
  <si>
    <t>범한_유성</t>
  </si>
  <si>
    <t>유성-328</t>
  </si>
  <si>
    <t>(주)유성이엔지</t>
  </si>
  <si>
    <t>볼보_시험팀</t>
  </si>
  <si>
    <t>볼보 합천 시험팀</t>
  </si>
  <si>
    <t>시험-56</t>
  </si>
  <si>
    <t>우남클린</t>
  </si>
  <si>
    <t>DFO30-0165</t>
  </si>
  <si>
    <t>대신-창원-168</t>
  </si>
  <si>
    <t>경남04도5859</t>
  </si>
  <si>
    <t>에이치지에스</t>
  </si>
  <si>
    <t>에이치지에스-171</t>
  </si>
  <si>
    <t>제트에프삭스코리아</t>
  </si>
  <si>
    <t>지게차창고</t>
  </si>
  <si>
    <t>예비-270</t>
  </si>
  <si>
    <t>예비-327</t>
  </si>
  <si>
    <t>SHB15-0440</t>
  </si>
  <si>
    <t>엠코-440</t>
  </si>
  <si>
    <t>WRCGA0007</t>
  </si>
  <si>
    <t>예비-441</t>
  </si>
  <si>
    <t>EOB00-0442</t>
  </si>
  <si>
    <t>우림-442</t>
  </si>
  <si>
    <t>EOB00-0443</t>
  </si>
  <si>
    <t>(주)엘에스에이인터</t>
  </si>
  <si>
    <t>C50D</t>
  </si>
  <si>
    <t>P680D01059690KF</t>
  </si>
  <si>
    <t>004마6730</t>
  </si>
  <si>
    <t>swingo 5000</t>
  </si>
  <si>
    <t>GTS30H</t>
  </si>
  <si>
    <t>GTS232D-0819-10066KF</t>
  </si>
  <si>
    <t>004마6736</t>
  </si>
  <si>
    <t>GTS232D-1820-10066KF</t>
  </si>
  <si>
    <t>004마6735</t>
  </si>
  <si>
    <t>예비-55</t>
  </si>
  <si>
    <t>예비-98</t>
  </si>
  <si>
    <t>에이치지에스-106</t>
  </si>
  <si>
    <t>예비-137</t>
  </si>
  <si>
    <t>CFB30-0142</t>
  </si>
  <si>
    <t>예비-145</t>
  </si>
  <si>
    <t>예비-167</t>
  </si>
  <si>
    <t>CFB50-0184</t>
  </si>
  <si>
    <t>에샵-213</t>
  </si>
  <si>
    <t>예비-245</t>
  </si>
  <si>
    <t>CFB25-0262</t>
  </si>
  <si>
    <t>SHB13-0270</t>
  </si>
  <si>
    <t>CFO50-0441</t>
  </si>
  <si>
    <t>EOB00-0444</t>
  </si>
  <si>
    <t>우림-444</t>
  </si>
  <si>
    <t>CFO30-0445</t>
  </si>
  <si>
    <t>대신-창원-445</t>
  </si>
  <si>
    <t>CFO30-0446</t>
  </si>
  <si>
    <t>대신-창원-446</t>
  </si>
  <si>
    <r>
      <t>지게차 보유 현황 List _</t>
    </r>
    <r>
      <rPr>
        <b/>
        <sz val="20"/>
        <color rgb="FF0000FF"/>
        <rFont val="맑은 고딕"/>
        <family val="3"/>
        <charset val="129"/>
        <scheme val="minor"/>
      </rPr>
      <t xml:space="preserve"> 2025. 04월 17일 현재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</si>
</sst>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#,##0_ ;[Red]\-#,##0\ "/>
    <numFmt numFmtId="177" formatCode="0.0\ &quot;개&quot;"/>
    <numFmt numFmtId="178" formatCode="0.0"/>
    <numFmt numFmtId="179" formatCode="0;\-0;&quot;-&quot;"/>
  </numFmts>
  <fonts count="24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20"/>
      <color theme="1"/>
      <name val="맑은 고딕"/>
      <family val="2"/>
      <charset val="129"/>
      <scheme val="minor"/>
    </font>
    <font>
      <b/>
      <sz val="20"/>
      <color rgb="FF0000FF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24"/>
      <color theme="1"/>
      <name val="맑은 고딕"/>
      <family val="2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B05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</cellStyleXfs>
  <cellXfs count="20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left" vertical="center"/>
    </xf>
    <xf numFmtId="0" fontId="4" fillId="0" borderId="0" xfId="0" applyFont="1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5" fillId="4" borderId="0" xfId="0" applyFont="1" applyFill="1">
      <alignment vertical="center"/>
    </xf>
    <xf numFmtId="0" fontId="7" fillId="0" borderId="0" xfId="0" applyFont="1">
      <alignment vertical="center"/>
    </xf>
    <xf numFmtId="0" fontId="8" fillId="4" borderId="0" xfId="0" applyFont="1" applyFill="1">
      <alignment vertical="center"/>
    </xf>
    <xf numFmtId="0" fontId="7" fillId="4" borderId="0" xfId="0" applyFont="1" applyFill="1" applyAlignment="1">
      <alignment horizontal="center" vertical="center"/>
    </xf>
    <xf numFmtId="0" fontId="7" fillId="4" borderId="0" xfId="0" applyFont="1" applyFill="1">
      <alignment vertical="center"/>
    </xf>
    <xf numFmtId="0" fontId="9" fillId="4" borderId="0" xfId="0" applyFont="1" applyFill="1">
      <alignment vertical="center"/>
    </xf>
    <xf numFmtId="0" fontId="10" fillId="4" borderId="0" xfId="0" applyFont="1" applyFill="1" applyAlignment="1">
      <alignment horizontal="center" vertical="center"/>
    </xf>
    <xf numFmtId="0" fontId="11" fillId="4" borderId="0" xfId="0" applyFont="1" applyFill="1">
      <alignment vertical="center"/>
    </xf>
    <xf numFmtId="0" fontId="7" fillId="4" borderId="0" xfId="0" applyFont="1" applyFill="1" applyAlignment="1">
      <alignment horizontal="left" vertical="center"/>
    </xf>
    <xf numFmtId="41" fontId="7" fillId="4" borderId="0" xfId="2" applyFont="1" applyFill="1">
      <alignment vertical="center"/>
    </xf>
    <xf numFmtId="41" fontId="7" fillId="4" borderId="0" xfId="2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13" fillId="4" borderId="0" xfId="0" applyFont="1" applyFill="1">
      <alignment vertical="center"/>
    </xf>
    <xf numFmtId="0" fontId="13" fillId="0" borderId="0" xfId="0" applyFont="1">
      <alignment vertical="center"/>
    </xf>
    <xf numFmtId="0" fontId="7" fillId="0" borderId="2" xfId="0" applyFont="1" applyBorder="1">
      <alignment vertical="center"/>
    </xf>
    <xf numFmtId="0" fontId="7" fillId="0" borderId="2" xfId="0" applyFont="1" applyBorder="1" applyAlignment="1">
      <alignment horizontal="center" vertical="center"/>
    </xf>
    <xf numFmtId="14" fontId="7" fillId="0" borderId="2" xfId="0" applyNumberFormat="1" applyFont="1" applyBorder="1" applyAlignment="1">
      <alignment horizontal="center" vertical="center"/>
    </xf>
    <xf numFmtId="0" fontId="10" fillId="4" borderId="0" xfId="0" applyFont="1" applyFill="1">
      <alignment vertical="center"/>
    </xf>
    <xf numFmtId="0" fontId="14" fillId="4" borderId="0" xfId="0" applyFont="1" applyFill="1">
      <alignment vertical="center"/>
    </xf>
    <xf numFmtId="41" fontId="14" fillId="4" borderId="0" xfId="2" applyFont="1" applyFill="1">
      <alignment vertical="center"/>
    </xf>
    <xf numFmtId="41" fontId="7" fillId="0" borderId="2" xfId="1" applyFont="1" applyBorder="1">
      <alignment vertical="center"/>
    </xf>
    <xf numFmtId="0" fontId="14" fillId="4" borderId="2" xfId="0" applyFont="1" applyFill="1" applyBorder="1">
      <alignment vertical="center"/>
    </xf>
    <xf numFmtId="0" fontId="0" fillId="4" borderId="0" xfId="0" applyFill="1">
      <alignment vertical="center"/>
    </xf>
    <xf numFmtId="0" fontId="8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8" fillId="3" borderId="0" xfId="0" applyFont="1" applyFill="1" applyAlignment="1">
      <alignment horizontal="left" vertical="center"/>
    </xf>
    <xf numFmtId="0" fontId="8" fillId="3" borderId="0" xfId="0" applyFont="1" applyFill="1">
      <alignment vertical="center"/>
    </xf>
    <xf numFmtId="0" fontId="7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0" fontId="11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18" fillId="4" borderId="0" xfId="0" applyFont="1" applyFill="1" applyAlignment="1">
      <alignment horizontal="center" vertical="top"/>
    </xf>
    <xf numFmtId="0" fontId="18" fillId="4" borderId="0" xfId="0" applyFont="1" applyFill="1" applyAlignment="1">
      <alignment horizontal="center" vertical="top" wrapText="1"/>
    </xf>
    <xf numFmtId="0" fontId="11" fillId="2" borderId="1" xfId="0" applyFont="1" applyFill="1" applyBorder="1" applyAlignment="1">
      <alignment horizontal="center" vertical="center" wrapText="1"/>
    </xf>
    <xf numFmtId="176" fontId="7" fillId="0" borderId="2" xfId="1" applyNumberFormat="1" applyFont="1" applyBorder="1">
      <alignment vertical="center"/>
    </xf>
    <xf numFmtId="0" fontId="7" fillId="6" borderId="1" xfId="0" applyFont="1" applyFill="1" applyBorder="1" applyAlignment="1">
      <alignment horizontal="left" vertical="center"/>
    </xf>
    <xf numFmtId="0" fontId="7" fillId="6" borderId="1" xfId="0" applyFont="1" applyFill="1" applyBorder="1">
      <alignment vertical="center"/>
    </xf>
    <xf numFmtId="0" fontId="7" fillId="6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0" fontId="7" fillId="5" borderId="1" xfId="0" applyFont="1" applyFill="1" applyBorder="1">
      <alignment vertical="center"/>
    </xf>
    <xf numFmtId="0" fontId="21" fillId="4" borderId="0" xfId="0" applyFont="1" applyFill="1" applyAlignment="1">
      <alignment horizontal="left" vertical="center"/>
    </xf>
    <xf numFmtId="0" fontId="11" fillId="5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/>
    </xf>
    <xf numFmtId="0" fontId="7" fillId="7" borderId="1" xfId="0" applyFont="1" applyFill="1" applyBorder="1">
      <alignment vertical="center"/>
    </xf>
    <xf numFmtId="0" fontId="7" fillId="4" borderId="8" xfId="0" applyFont="1" applyFill="1" applyBorder="1" applyAlignment="1">
      <alignment horizontal="center" vertical="center"/>
    </xf>
    <xf numFmtId="178" fontId="11" fillId="5" borderId="1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left" vertical="center" indent="1"/>
    </xf>
    <xf numFmtId="0" fontId="21" fillId="8" borderId="1" xfId="0" applyFont="1" applyFill="1" applyBorder="1">
      <alignment vertical="center"/>
    </xf>
    <xf numFmtId="0" fontId="11" fillId="8" borderId="1" xfId="0" applyFont="1" applyFill="1" applyBorder="1" applyAlignment="1">
      <alignment horizontal="center" vertical="center"/>
    </xf>
    <xf numFmtId="41" fontId="0" fillId="4" borderId="0" xfId="1" applyFont="1" applyFill="1">
      <alignment vertical="center"/>
    </xf>
    <xf numFmtId="0" fontId="22" fillId="4" borderId="0" xfId="0" applyFont="1" applyFill="1" applyAlignment="1">
      <alignment horizontal="left" vertical="center"/>
    </xf>
    <xf numFmtId="0" fontId="7" fillId="4" borderId="0" xfId="0" applyFont="1" applyFill="1" applyAlignment="1">
      <alignment horizontal="center" vertical="center" wrapText="1"/>
    </xf>
    <xf numFmtId="14" fontId="7" fillId="4" borderId="0" xfId="0" applyNumberFormat="1" applyFont="1" applyFill="1" applyAlignment="1">
      <alignment horizontal="center" vertical="center"/>
    </xf>
    <xf numFmtId="14" fontId="7" fillId="4" borderId="0" xfId="0" applyNumberFormat="1" applyFont="1" applyFill="1" applyAlignment="1">
      <alignment horizontal="center" vertical="center" wrapText="1"/>
    </xf>
    <xf numFmtId="41" fontId="7" fillId="4" borderId="0" xfId="1" applyFont="1" applyFill="1" applyBorder="1" applyAlignment="1">
      <alignment horizontal="center" vertical="center"/>
    </xf>
    <xf numFmtId="176" fontId="7" fillId="4" borderId="0" xfId="1" applyNumberFormat="1" applyFont="1" applyFill="1" applyBorder="1" applyAlignment="1">
      <alignment horizontal="center" vertical="center"/>
    </xf>
    <xf numFmtId="176" fontId="7" fillId="4" borderId="0" xfId="0" applyNumberFormat="1" applyFont="1" applyFill="1" applyAlignment="1">
      <alignment horizontal="center" vertical="center" wrapText="1"/>
    </xf>
    <xf numFmtId="41" fontId="7" fillId="4" borderId="1" xfId="1" applyFont="1" applyFill="1" applyBorder="1" applyAlignment="1">
      <alignment horizontal="center" vertical="center"/>
    </xf>
    <xf numFmtId="0" fontId="13" fillId="4" borderId="1" xfId="0" applyFont="1" applyFill="1" applyBorder="1">
      <alignment vertical="center"/>
    </xf>
    <xf numFmtId="176" fontId="7" fillId="4" borderId="0" xfId="0" applyNumberFormat="1" applyFont="1" applyFill="1" applyAlignment="1">
      <alignment horizontal="center" vertical="center"/>
    </xf>
    <xf numFmtId="0" fontId="13" fillId="4" borderId="1" xfId="0" applyFont="1" applyFill="1" applyBorder="1" applyAlignment="1">
      <alignment vertical="center" wrapText="1"/>
    </xf>
    <xf numFmtId="14" fontId="0" fillId="0" borderId="1" xfId="0" applyNumberFormat="1" applyBorder="1">
      <alignment vertical="center"/>
    </xf>
    <xf numFmtId="0" fontId="0" fillId="0" borderId="0" xfId="0" pivotButton="1">
      <alignment vertical="center"/>
    </xf>
    <xf numFmtId="41" fontId="7" fillId="0" borderId="1" xfId="1" applyFont="1" applyBorder="1" applyAlignment="1">
      <alignment horizontal="center" vertical="center"/>
    </xf>
    <xf numFmtId="0" fontId="13" fillId="0" borderId="1" xfId="0" applyFont="1" applyBorder="1">
      <alignment vertical="center"/>
    </xf>
    <xf numFmtId="176" fontId="8" fillId="0" borderId="1" xfId="1" applyNumberFormat="1" applyFont="1" applyBorder="1" applyAlignment="1">
      <alignment vertical="center"/>
    </xf>
    <xf numFmtId="176" fontId="7" fillId="0" borderId="2" xfId="0" applyNumberFormat="1" applyFont="1" applyBorder="1">
      <alignment vertical="center"/>
    </xf>
    <xf numFmtId="0" fontId="17" fillId="4" borderId="0" xfId="0" applyFont="1" applyFill="1">
      <alignment vertical="center"/>
    </xf>
    <xf numFmtId="14" fontId="0" fillId="0" borderId="0" xfId="0" applyNumberFormat="1">
      <alignment vertical="center"/>
    </xf>
    <xf numFmtId="41" fontId="0" fillId="0" borderId="0" xfId="1" applyFont="1" applyBorder="1">
      <alignment vertical="center"/>
    </xf>
    <xf numFmtId="0" fontId="11" fillId="6" borderId="5" xfId="0" applyFont="1" applyFill="1" applyBorder="1" applyAlignment="1">
      <alignment horizontal="center" vertical="center"/>
    </xf>
    <xf numFmtId="0" fontId="8" fillId="4" borderId="1" xfId="0" applyFont="1" applyFill="1" applyBorder="1">
      <alignment vertical="center"/>
    </xf>
    <xf numFmtId="14" fontId="0" fillId="4" borderId="0" xfId="0" applyNumberFormat="1" applyFill="1">
      <alignment vertical="center"/>
    </xf>
    <xf numFmtId="0" fontId="14" fillId="0" borderId="1" xfId="0" applyFont="1" applyBorder="1">
      <alignment vertical="center"/>
    </xf>
    <xf numFmtId="41" fontId="0" fillId="0" borderId="1" xfId="1" applyFont="1" applyBorder="1">
      <alignment vertical="center"/>
    </xf>
    <xf numFmtId="38" fontId="0" fillId="0" borderId="1" xfId="1" applyNumberFormat="1" applyFont="1" applyBorder="1">
      <alignment vertical="center"/>
    </xf>
    <xf numFmtId="0" fontId="0" fillId="6" borderId="1" xfId="0" applyFill="1" applyBorder="1">
      <alignment vertical="center"/>
    </xf>
    <xf numFmtId="14" fontId="0" fillId="6" borderId="1" xfId="0" applyNumberFormat="1" applyFill="1" applyBorder="1">
      <alignment vertical="center"/>
    </xf>
    <xf numFmtId="41" fontId="0" fillId="6" borderId="1" xfId="1" applyFont="1" applyFill="1" applyBorder="1">
      <alignment vertical="center"/>
    </xf>
    <xf numFmtId="38" fontId="0" fillId="6" borderId="1" xfId="1" applyNumberFormat="1" applyFont="1" applyFill="1" applyBorder="1">
      <alignment vertical="center"/>
    </xf>
    <xf numFmtId="0" fontId="13" fillId="6" borderId="1" xfId="0" applyFont="1" applyFill="1" applyBorder="1">
      <alignment vertical="center"/>
    </xf>
    <xf numFmtId="0" fontId="0" fillId="9" borderId="1" xfId="0" applyFill="1" applyBorder="1">
      <alignment vertical="center"/>
    </xf>
    <xf numFmtId="14" fontId="0" fillId="9" borderId="1" xfId="0" applyNumberFormat="1" applyFill="1" applyBorder="1">
      <alignment vertical="center"/>
    </xf>
    <xf numFmtId="41" fontId="0" fillId="9" borderId="1" xfId="1" applyFont="1" applyFill="1" applyBorder="1">
      <alignment vertical="center"/>
    </xf>
    <xf numFmtId="38" fontId="0" fillId="9" borderId="1" xfId="1" applyNumberFormat="1" applyFont="1" applyFill="1" applyBorder="1">
      <alignment vertical="center"/>
    </xf>
    <xf numFmtId="0" fontId="13" fillId="9" borderId="1" xfId="0" applyFont="1" applyFill="1" applyBorder="1">
      <alignment vertical="center"/>
    </xf>
    <xf numFmtId="0" fontId="13" fillId="9" borderId="0" xfId="0" applyFont="1" applyFill="1">
      <alignment vertical="center"/>
    </xf>
    <xf numFmtId="0" fontId="20" fillId="9" borderId="0" xfId="0" applyFont="1" applyFill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12" fillId="10" borderId="0" xfId="0" applyFont="1" applyFill="1" applyAlignment="1">
      <alignment horizontal="left" vertical="center"/>
    </xf>
    <xf numFmtId="0" fontId="7" fillId="10" borderId="0" xfId="0" applyFont="1" applyFill="1" applyAlignment="1">
      <alignment horizontal="left" vertical="center"/>
    </xf>
    <xf numFmtId="0" fontId="20" fillId="4" borderId="0" xfId="0" applyFont="1" applyFill="1" applyAlignment="1">
      <alignment horizontal="right" vertical="center"/>
    </xf>
    <xf numFmtId="0" fontId="19" fillId="4" borderId="0" xfId="0" applyFont="1" applyFill="1" applyAlignment="1">
      <alignment horizontal="right" vertical="center"/>
    </xf>
    <xf numFmtId="0" fontId="16" fillId="4" borderId="0" xfId="0" applyFont="1" applyFill="1" applyAlignment="1">
      <alignment horizontal="right" vertical="center"/>
    </xf>
    <xf numFmtId="0" fontId="15" fillId="10" borderId="0" xfId="0" applyFont="1" applyFill="1" applyAlignment="1">
      <alignment horizontal="left" vertical="center"/>
    </xf>
    <xf numFmtId="0" fontId="7" fillId="10" borderId="0" xfId="0" applyFont="1" applyFill="1">
      <alignment vertical="center"/>
    </xf>
    <xf numFmtId="0" fontId="11" fillId="6" borderId="1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178" fontId="11" fillId="4" borderId="0" xfId="0" applyNumberFormat="1" applyFont="1" applyFill="1" applyAlignment="1">
      <alignment horizontal="center" vertical="center"/>
    </xf>
    <xf numFmtId="41" fontId="7" fillId="4" borderId="0" xfId="2" applyFont="1" applyFill="1" applyBorder="1">
      <alignment vertical="center"/>
    </xf>
    <xf numFmtId="0" fontId="23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23" fillId="11" borderId="0" xfId="0" applyFont="1" applyFill="1">
      <alignment vertical="center"/>
    </xf>
    <xf numFmtId="0" fontId="0" fillId="11" borderId="0" xfId="0" applyFill="1">
      <alignment vertical="center"/>
    </xf>
    <xf numFmtId="0" fontId="1" fillId="2" borderId="19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179" fontId="0" fillId="0" borderId="24" xfId="0" applyNumberFormat="1" applyBorder="1" applyAlignment="1">
      <alignment horizontal="center" vertical="center"/>
    </xf>
    <xf numFmtId="179" fontId="0" fillId="0" borderId="23" xfId="0" applyNumberFormat="1" applyBorder="1" applyAlignment="1">
      <alignment horizontal="center" vertical="center"/>
    </xf>
    <xf numFmtId="179" fontId="0" fillId="0" borderId="26" xfId="0" applyNumberFormat="1" applyBorder="1" applyAlignment="1">
      <alignment horizontal="center" vertical="center"/>
    </xf>
    <xf numFmtId="179" fontId="0" fillId="0" borderId="9" xfId="0" applyNumberFormat="1" applyBorder="1" applyAlignment="1">
      <alignment horizontal="center" vertical="center"/>
    </xf>
    <xf numFmtId="179" fontId="0" fillId="0" borderId="10" xfId="0" applyNumberFormat="1" applyBorder="1" applyAlignment="1">
      <alignment horizontal="center" vertical="center"/>
    </xf>
    <xf numFmtId="179" fontId="0" fillId="0" borderId="11" xfId="0" applyNumberFormat="1" applyBorder="1" applyAlignment="1">
      <alignment horizontal="center" vertical="center"/>
    </xf>
    <xf numFmtId="179" fontId="0" fillId="0" borderId="25" xfId="0" applyNumberFormat="1" applyBorder="1" applyAlignment="1">
      <alignment horizontal="center" vertical="center"/>
    </xf>
    <xf numFmtId="179" fontId="0" fillId="0" borderId="19" xfId="0" applyNumberFormat="1" applyBorder="1" applyAlignment="1">
      <alignment horizontal="center" vertical="center"/>
    </xf>
    <xf numFmtId="179" fontId="0" fillId="0" borderId="13" xfId="0" applyNumberFormat="1" applyBorder="1" applyAlignment="1">
      <alignment horizontal="center" vertical="center"/>
    </xf>
    <xf numFmtId="179" fontId="0" fillId="0" borderId="27" xfId="0" applyNumberFormat="1" applyBorder="1" applyAlignment="1">
      <alignment horizontal="center" vertical="center"/>
    </xf>
    <xf numFmtId="179" fontId="0" fillId="0" borderId="12" xfId="0" applyNumberFormat="1" applyBorder="1" applyAlignment="1">
      <alignment horizontal="center" vertical="center"/>
    </xf>
    <xf numFmtId="179" fontId="0" fillId="0" borderId="14" xfId="0" applyNumberFormat="1" applyBorder="1" applyAlignment="1">
      <alignment horizontal="center" vertical="center"/>
    </xf>
    <xf numFmtId="179" fontId="0" fillId="0" borderId="30" xfId="0" applyNumberFormat="1" applyBorder="1" applyAlignment="1">
      <alignment horizontal="center" vertical="center"/>
    </xf>
    <xf numFmtId="179" fontId="0" fillId="0" borderId="31" xfId="0" applyNumberFormat="1" applyBorder="1" applyAlignment="1">
      <alignment horizontal="center" vertical="center"/>
    </xf>
    <xf numFmtId="179" fontId="0" fillId="0" borderId="32" xfId="0" applyNumberFormat="1" applyBorder="1" applyAlignment="1">
      <alignment horizontal="center" vertical="center"/>
    </xf>
    <xf numFmtId="179" fontId="0" fillId="0" borderId="33" xfId="0" applyNumberFormat="1" applyBorder="1" applyAlignment="1">
      <alignment horizontal="center" vertical="center"/>
    </xf>
    <xf numFmtId="179" fontId="0" fillId="0" borderId="34" xfId="0" applyNumberFormat="1" applyBorder="1" applyAlignment="1">
      <alignment horizontal="center" vertical="center"/>
    </xf>
    <xf numFmtId="179" fontId="1" fillId="0" borderId="35" xfId="0" applyNumberFormat="1" applyFont="1" applyBorder="1" applyAlignment="1">
      <alignment horizontal="center" vertical="center"/>
    </xf>
    <xf numFmtId="179" fontId="1" fillId="0" borderId="36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3" fillId="3" borderId="1" xfId="0" applyFont="1" applyFill="1" applyBorder="1">
      <alignment vertical="center"/>
    </xf>
    <xf numFmtId="0" fontId="1" fillId="2" borderId="38" xfId="0" applyFont="1" applyFill="1" applyBorder="1" applyAlignment="1">
      <alignment horizontal="center" vertical="center"/>
    </xf>
    <xf numFmtId="179" fontId="0" fillId="0" borderId="37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41" fontId="0" fillId="0" borderId="1" xfId="5" applyFont="1" applyBorder="1">
      <alignment vertical="center"/>
    </xf>
    <xf numFmtId="178" fontId="11" fillId="0" borderId="3" xfId="0" applyNumberFormat="1" applyFont="1" applyBorder="1" applyAlignment="1">
      <alignment horizontal="center" vertical="center"/>
    </xf>
    <xf numFmtId="178" fontId="11" fillId="0" borderId="4" xfId="0" applyNumberFormat="1" applyFont="1" applyBorder="1" applyAlignment="1">
      <alignment horizontal="center" vertical="center"/>
    </xf>
    <xf numFmtId="178" fontId="11" fillId="0" borderId="5" xfId="0" applyNumberFormat="1" applyFont="1" applyBorder="1" applyAlignment="1">
      <alignment horizontal="center" vertical="center"/>
    </xf>
    <xf numFmtId="177" fontId="11" fillId="5" borderId="6" xfId="0" applyNumberFormat="1" applyFont="1" applyFill="1" applyBorder="1" applyAlignment="1">
      <alignment horizontal="center" vertical="center"/>
    </xf>
    <xf numFmtId="177" fontId="11" fillId="5" borderId="7" xfId="0" applyNumberFormat="1" applyFont="1" applyFill="1" applyBorder="1" applyAlignment="1">
      <alignment horizontal="center" vertical="center"/>
    </xf>
    <xf numFmtId="177" fontId="11" fillId="0" borderId="6" xfId="0" applyNumberFormat="1" applyFont="1" applyBorder="1" applyAlignment="1">
      <alignment horizontal="center" vertical="center"/>
    </xf>
    <xf numFmtId="177" fontId="11" fillId="0" borderId="7" xfId="0" applyNumberFormat="1" applyFont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11" fillId="5" borderId="4" xfId="0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left" vertical="center"/>
    </xf>
    <xf numFmtId="0" fontId="7" fillId="5" borderId="5" xfId="0" applyFont="1" applyFill="1" applyBorder="1" applyAlignment="1">
      <alignment horizontal="left" vertical="center"/>
    </xf>
    <xf numFmtId="0" fontId="7" fillId="5" borderId="3" xfId="0" applyFont="1" applyFill="1" applyBorder="1" applyAlignment="1">
      <alignment horizontal="right" vertical="center"/>
    </xf>
    <xf numFmtId="0" fontId="7" fillId="5" borderId="5" xfId="0" applyFont="1" applyFill="1" applyBorder="1" applyAlignment="1">
      <alignment horizontal="right" vertical="center"/>
    </xf>
    <xf numFmtId="31" fontId="11" fillId="5" borderId="4" xfId="0" applyNumberFormat="1" applyFont="1" applyFill="1" applyBorder="1" applyAlignment="1">
      <alignment horizontal="center" vertical="center" wrapText="1"/>
    </xf>
    <xf numFmtId="31" fontId="11" fillId="5" borderId="5" xfId="0" applyNumberFormat="1" applyFont="1" applyFill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center" vertical="center"/>
    </xf>
    <xf numFmtId="31" fontId="11" fillId="5" borderId="3" xfId="0" applyNumberFormat="1" applyFont="1" applyFill="1" applyBorder="1" applyAlignment="1">
      <alignment horizontal="center" vertical="center" wrapText="1"/>
    </xf>
    <xf numFmtId="0" fontId="11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177" fontId="11" fillId="4" borderId="0" xfId="0" applyNumberFormat="1" applyFont="1" applyFill="1" applyAlignment="1">
      <alignment horizontal="center" vertical="center"/>
    </xf>
    <xf numFmtId="178" fontId="11" fillId="4" borderId="0" xfId="0" applyNumberFormat="1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39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179" fontId="0" fillId="0" borderId="6" xfId="0" applyNumberForma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9">
    <cellStyle name="쉼표 [0]" xfId="1" builtinId="6"/>
    <cellStyle name="쉼표 [0] 2" xfId="2" xr:uid="{00000000-0005-0000-0000-000001000000}"/>
    <cellStyle name="쉼표 [0] 2 2" xfId="4" xr:uid="{00000000-0005-0000-0000-000002000000}"/>
    <cellStyle name="쉼표 [0] 2 2 2" xfId="8" xr:uid="{3D47B0D3-7AA8-4C71-AA50-080B028176BE}"/>
    <cellStyle name="쉼표 [0] 2 3" xfId="6" xr:uid="{799CD4AB-A729-479C-9F45-56B3F1EF7B36}"/>
    <cellStyle name="쉼표 [0] 3" xfId="3" xr:uid="{00000000-0005-0000-0000-000003000000}"/>
    <cellStyle name="쉼표 [0] 3 2" xfId="7" xr:uid="{E8A180D0-652C-41FC-9AC3-E00E47A28E99}"/>
    <cellStyle name="쉼표 [0] 4" xfId="5" xr:uid="{B6C258AC-AD9B-419B-A4DE-8DE6569A83B0}"/>
    <cellStyle name="표준" xfId="0" builtinId="0"/>
  </cellStyles>
  <dxfs count="1">
    <dxf>
      <font>
        <b/>
        <i val="0"/>
        <color rgb="FFFF0000"/>
      </font>
    </dxf>
  </dxfs>
  <tableStyles count="0" defaultTableStyle="TableStyleMedium2" defaultPivotStyle="PivotStyleLight16"/>
  <colors>
    <mruColors>
      <color rgb="FF0000FF"/>
      <color rgb="FFFF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Y" refreshedDate="45812.523740046294" createdVersion="7" refreshedVersion="7" minRefreshableVersion="3" recordCount="362" xr:uid="{00000000-000A-0000-FFFF-FFFF00000000}">
  <cacheSource type="worksheet">
    <worksheetSource ref="F3:AD365" sheet="K&amp;L 지게차 Master list"/>
  </cacheSource>
  <cacheFields count="23">
    <cacheField name="장비 No" numFmtId="0">
      <sharedItems/>
    </cacheField>
    <cacheField name="사업장" numFmtId="0">
      <sharedItems count="49">
        <s v="범한_항성"/>
        <s v="포엠플러스"/>
        <s v="ZF삭스"/>
        <s v="(주)대동"/>
        <s v="정비사업부"/>
        <s v="디와이파워"/>
        <s v="베스텍"/>
        <s v="대신 마산공장"/>
        <s v="대동기어"/>
        <s v="디에스아이"/>
        <s v="경남금속"/>
        <s v="대신 창원공장"/>
        <s v="덴소울산공장"/>
        <s v="대한제강"/>
        <s v="김해건기"/>
        <s v="두산산업차량"/>
        <s v="비앤스틸라"/>
        <s v="산호수출포장"/>
        <s v="이래CS"/>
        <s v="진양"/>
        <s v="오페"/>
        <s v="이래CS 2공장"/>
        <s v="범한_대한테크"/>
        <s v="엠코"/>
        <s v="BAT"/>
        <s v="씨엔엘(세아에샵)"/>
        <s v="범한_극동"/>
        <s v="플라스틱옴니엄"/>
        <s v="창원엘소"/>
        <s v="우림기계"/>
        <s v="셰플러"/>
        <s v="디와이파워_신아"/>
        <s v="SNT다이내믹스"/>
        <s v="볼보"/>
        <s v="세아항공방산소재"/>
        <s v="셰플러 안산"/>
        <s v="엘소창원공장(임대)"/>
        <s v="S&amp;TC중공업"/>
        <s v="비엔케미컬"/>
        <s v="코렌스"/>
        <s v="태성이엔지"/>
        <s v="볼보_콤퍼넌트"/>
        <s v="범한_대성테크"/>
        <s v="범한_카이치코리아"/>
        <s v="B&amp;BIP"/>
        <s v="한양S&amp;C"/>
        <s v="일본통운"/>
        <s v="세아제강"/>
        <s v="볼보_시작실"/>
      </sharedItems>
    </cacheField>
    <cacheField name="상태" numFmtId="0">
      <sharedItems/>
    </cacheField>
    <cacheField name="담당자" numFmtId="0">
      <sharedItems/>
    </cacheField>
    <cacheField name="배치장소" numFmtId="0">
      <sharedItems containsBlank="1"/>
    </cacheField>
    <cacheField name="배치No" numFmtId="0">
      <sharedItems/>
    </cacheField>
    <cacheField name="운영" numFmtId="0">
      <sharedItems/>
    </cacheField>
    <cacheField name="규격" numFmtId="0">
      <sharedItems/>
    </cacheField>
    <cacheField name="톤수" numFmtId="0">
      <sharedItems count="19">
        <s v="3.0T"/>
        <s v="2.5T"/>
        <s v="2.0T"/>
        <s v="1.8T"/>
        <s v="4.0T"/>
        <s v="1.5T"/>
        <s v="1.0T"/>
        <s v="5.0T"/>
        <s v="16T"/>
        <s v="7.0T"/>
        <s v="미정"/>
        <s v="3.3T"/>
        <s v="3.5T"/>
        <s v="4.5T"/>
        <s v="8.0T"/>
        <s v="1.3T"/>
        <s v="3.2T"/>
        <s v="6.0T"/>
        <s v="12T"/>
      </sharedItems>
    </cacheField>
    <cacheField name="제작처" numFmtId="0">
      <sharedItems/>
    </cacheField>
    <cacheField name="모델명" numFmtId="0">
      <sharedItems containsBlank="1"/>
    </cacheField>
    <cacheField name="차대번호" numFmtId="0">
      <sharedItems containsBlank="1" containsMixedTypes="1" containsNumber="1" containsInteger="1" minValue="0" maxValue="0"/>
    </cacheField>
    <cacheField name="년식" numFmtId="14">
      <sharedItems containsSemiMixedTypes="0" containsNonDate="0" containsDate="1" containsString="0" minDate="1995-01-01T00:00:00" maxDate="2025-05-30T00:00:00"/>
    </cacheField>
    <cacheField name="가동_x000a_시간" numFmtId="0">
      <sharedItems containsSemiMixedTypes="0" containsString="0" containsNumber="1" containsInteger="1" minValue="0" maxValue="29759"/>
    </cacheField>
    <cacheField name="차량_x000a_등록 No." numFmtId="0">
      <sharedItems containsBlank="1"/>
    </cacheField>
    <cacheField name="보험" numFmtId="0">
      <sharedItems/>
    </cacheField>
    <cacheField name="자산처" numFmtId="0">
      <sharedItems/>
    </cacheField>
    <cacheField name="자산_x000a_등록일" numFmtId="14">
      <sharedItems containsSemiMixedTypes="0" containsNonDate="0" containsDate="1" containsString="0" minDate="2004-01-01T00:00:00" maxDate="2025-05-30T00:00:00"/>
    </cacheField>
    <cacheField name="임대_x000a_시작일" numFmtId="14">
      <sharedItems containsSemiMixedTypes="0" containsNonDate="0" containsDate="1" containsString="0" minDate="2015-04-01T00:00:00" maxDate="2025-06-02T00:00:00"/>
    </cacheField>
    <cacheField name="임대료" numFmtId="41">
      <sharedItems containsSemiMixedTypes="0" containsString="0" containsNumber="1" containsInteger="1" minValue="0" maxValue="6000000"/>
    </cacheField>
    <cacheField name="차량가액" numFmtId="41">
      <sharedItems containsSemiMixedTypes="0" containsString="0" containsNumber="1" containsInteger="1" minValue="0" maxValue="170990100"/>
    </cacheField>
    <cacheField name="차량수리비" numFmtId="41">
      <sharedItems containsString="0" containsBlank="1" containsNumber="1" containsInteger="1" minValue="100" maxValue="148549987"/>
    </cacheField>
    <cacheField name="임대처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2">
  <r>
    <s v="CFB30-0001"/>
    <x v="0"/>
    <s v="임대"/>
    <s v="손화나"/>
    <s v="범한메카텍_항성"/>
    <s v="항성-01"/>
    <s v="주간"/>
    <s v="C/B"/>
    <x v="0"/>
    <s v="클라크"/>
    <s v="EPX30"/>
    <s v="EPX360 2302 9652 KF"/>
    <d v="2008-01-01T00:00:00"/>
    <n v="23716"/>
    <m/>
    <s v="Y"/>
    <s v="케이엔엘"/>
    <d v="2018-08-01T00:00:00"/>
    <d v="2024-04-01T00:00:00"/>
    <n v="600000"/>
    <n v="18500000"/>
    <n v="22425094"/>
    <s v="R033"/>
  </r>
  <r>
    <s v="CFB25-0002"/>
    <x v="1"/>
    <s v="임대"/>
    <s v="이승희"/>
    <m/>
    <s v="포엠- 02"/>
    <s v="주간"/>
    <s v="C/B"/>
    <x v="1"/>
    <s v="클라크"/>
    <s v="EPX25FL"/>
    <s v="EPX360-0310-9959KF"/>
    <d v="2015-01-01T00:00:00"/>
    <n v="0"/>
    <m/>
    <s v="N"/>
    <s v="케이엔엘"/>
    <d v="2019-07-01T00:00:00"/>
    <d v="2019-07-01T00:00:00"/>
    <n v="500000"/>
    <n v="10000000"/>
    <n v="6121680"/>
    <s v="R015"/>
  </r>
  <r>
    <s v="DFO30-0003"/>
    <x v="2"/>
    <s v="임대"/>
    <s v="이상용"/>
    <m/>
    <s v="ZF삭스-03"/>
    <s v="주간"/>
    <s v="C/B"/>
    <x v="0"/>
    <s v="두산"/>
    <s v="D30SE-7"/>
    <s v="FDA0R-2340-06907"/>
    <d v="2018-08-01T00:00:00"/>
    <n v="0"/>
    <s v="경남 04노 8341"/>
    <s v="Y"/>
    <s v="엘소"/>
    <d v="2018-08-06T00:00:00"/>
    <d v="2018-08-06T00:00:00"/>
    <n v="800000"/>
    <n v="31490000"/>
    <n v="12621716"/>
    <s v="R002"/>
  </r>
  <r>
    <s v="DFO30-0004"/>
    <x v="3"/>
    <s v="임대"/>
    <s v="이병대"/>
    <s v="대구 달성공장"/>
    <s v="대동-04"/>
    <s v="주간"/>
    <s v="C/B"/>
    <x v="0"/>
    <s v="두산"/>
    <s v="D30S-7"/>
    <s v="FDA0W-2340-02154"/>
    <d v="2017-08-08T00:00:00"/>
    <n v="7815"/>
    <s v="경남 04노 7874"/>
    <s v="Y"/>
    <s v="케이엔엘"/>
    <d v="2020-01-01T00:00:00"/>
    <d v="2024-11-18T00:00:00"/>
    <n v="900000"/>
    <n v="20000000"/>
    <n v="16784162"/>
    <s v="R043"/>
  </r>
  <r>
    <s v="DFB20-0005"/>
    <x v="2"/>
    <s v="임대"/>
    <s v="이상용"/>
    <m/>
    <s v="ZF삭스-05"/>
    <s v="주간"/>
    <s v="C/B"/>
    <x v="2"/>
    <s v="두산"/>
    <s v="B20S-5"/>
    <s v="FBA07-1380-00856"/>
    <d v="2012-01-01T00:00:00"/>
    <n v="0"/>
    <m/>
    <s v="Y"/>
    <s v="엘소"/>
    <d v="2020-01-01T00:00:00"/>
    <d v="2020-01-01T00:00:00"/>
    <n v="780000"/>
    <n v="18000000"/>
    <n v="7805936"/>
    <s v="R002"/>
  </r>
  <r>
    <s v="CFB18-0006"/>
    <x v="4"/>
    <s v="임대"/>
    <s v="김종근"/>
    <s v="엘소창원공장"/>
    <s v="예비-06"/>
    <s v="주간"/>
    <s v="C/B"/>
    <x v="3"/>
    <s v="클라크"/>
    <s v="EPX18"/>
    <s v="EPX162-0965-9818KF"/>
    <d v="2012-01-01T00:00:00"/>
    <n v="0"/>
    <m/>
    <s v="Y"/>
    <s v="케이엔엘"/>
    <d v="2020-01-01T00:00:00"/>
    <d v="2024-04-01T00:00:00"/>
    <n v="0"/>
    <n v="18000000"/>
    <n v="10589916"/>
    <s v="R031"/>
  </r>
  <r>
    <s v="DFB20-0007"/>
    <x v="2"/>
    <s v="임대"/>
    <s v="이상용"/>
    <m/>
    <s v="ZF삭스-07"/>
    <s v="주간"/>
    <s v="C/B"/>
    <x v="2"/>
    <s v="두산"/>
    <s v="B20S-5"/>
    <s v="FBA07-1910-01817"/>
    <d v="2017-06-01T00:00:00"/>
    <n v="0"/>
    <m/>
    <s v="Y"/>
    <s v="엘소"/>
    <d v="2020-01-01T00:00:00"/>
    <d v="2020-01-01T00:00:00"/>
    <n v="780000"/>
    <n v="8500000"/>
    <n v="4966296"/>
    <s v="R002"/>
  </r>
  <r>
    <s v="CFB18-0008"/>
    <x v="2"/>
    <s v="임대"/>
    <s v="이상용"/>
    <m/>
    <s v="ZF삭스-08"/>
    <s v="주간"/>
    <s v="C/B"/>
    <x v="3"/>
    <s v="클라크"/>
    <s v="EPX18"/>
    <s v="EPX162-0962-9818KF"/>
    <d v="2012-01-01T00:00:00"/>
    <n v="0"/>
    <m/>
    <s v="Y"/>
    <s v="엘소"/>
    <d v="2020-01-01T00:00:00"/>
    <d v="2020-01-01T00:00:00"/>
    <n v="780000"/>
    <n v="8500000"/>
    <n v="7801226"/>
    <s v="R002"/>
  </r>
  <r>
    <s v="DFO30-0009"/>
    <x v="2"/>
    <s v="임대"/>
    <s v="이상용"/>
    <m/>
    <s v="ZF삭스-09"/>
    <s v="주간"/>
    <s v="C/B"/>
    <x v="0"/>
    <s v="두산"/>
    <s v="D30S-7"/>
    <s v="FDA0W-2340-02155"/>
    <d v="2017-06-01T00:00:00"/>
    <n v="0"/>
    <s v="경남 04노 7875"/>
    <s v="N"/>
    <s v="엘소"/>
    <d v="2020-01-01T00:00:00"/>
    <d v="2023-04-01T00:00:00"/>
    <n v="747000"/>
    <n v="10500000"/>
    <n v="18540002"/>
    <s v="R002"/>
  </r>
  <r>
    <s v="DFO30-0010"/>
    <x v="5"/>
    <s v="임대"/>
    <s v="이승희"/>
    <s v="디와이파워"/>
    <s v="2Y-3"/>
    <s v="주간"/>
    <s v="C/B"/>
    <x v="0"/>
    <s v="두산"/>
    <s v="D30S-7"/>
    <s v="FDA0W-2340-02156"/>
    <d v="2017-06-01T00:00:00"/>
    <n v="0"/>
    <s v="경남 04노 7876"/>
    <s v="Y"/>
    <s v="케이엔엘"/>
    <d v="2023-07-01T00:00:00"/>
    <d v="2023-07-01T00:00:00"/>
    <n v="600000"/>
    <n v="17000000"/>
    <n v="22116582"/>
    <s v="R018"/>
  </r>
  <r>
    <s v="DRB18-0011"/>
    <x v="2"/>
    <s v="임대"/>
    <s v="이상용"/>
    <m/>
    <s v="ZF삭스-11"/>
    <s v="주간"/>
    <s v="입식"/>
    <x v="3"/>
    <s v="두산"/>
    <s v="BR18S-9"/>
    <s v="FRA0T-1380-00458"/>
    <d v="2021-10-01T00:00:00"/>
    <n v="0"/>
    <m/>
    <s v="Y"/>
    <s v="엘소"/>
    <d v="2021-10-21T00:00:00"/>
    <d v="2021-10-21T00:00:00"/>
    <n v="670000"/>
    <n v="23500000"/>
    <n v="963300"/>
    <s v="R002"/>
  </r>
  <r>
    <s v="DFO30-0012"/>
    <x v="5"/>
    <s v="임대"/>
    <s v="이승희"/>
    <s v="디와이파워-2공장"/>
    <s v="2Y-4"/>
    <s v="주간"/>
    <s v="C/B"/>
    <x v="0"/>
    <s v="두산"/>
    <s v="D30S-5"/>
    <s v="FDA06-1000-11364"/>
    <d v="2011-01-01T00:00:00"/>
    <n v="0"/>
    <s v="경남 04노5178"/>
    <s v="Y"/>
    <s v="케이엔엘"/>
    <d v="2023-07-01T00:00:00"/>
    <d v="2023-07-01T00:00:00"/>
    <n v="650000"/>
    <n v="10000000"/>
    <n v="20455666"/>
    <s v="R018"/>
  </r>
  <r>
    <s v="CFB18-0013"/>
    <x v="2"/>
    <s v="임대"/>
    <s v="이상용"/>
    <m/>
    <s v="ZF삭스-13"/>
    <s v="주간"/>
    <s v="C/B"/>
    <x v="3"/>
    <s v="클라크"/>
    <s v="EPX18FL"/>
    <s v="EPX162-1035-9958KT"/>
    <d v="2017-06-01T00:00:00"/>
    <n v="0"/>
    <m/>
    <s v="Y"/>
    <s v="엘소"/>
    <d v="2020-01-01T00:00:00"/>
    <d v="2020-01-01T00:00:00"/>
    <n v="800000"/>
    <n v="11000000"/>
    <n v="3456226"/>
    <s v="R002"/>
  </r>
  <r>
    <s v="CFB18-0014"/>
    <x v="2"/>
    <s v="임대"/>
    <s v="이상용"/>
    <s v="ZF삭스"/>
    <s v="ZF삭스-14"/>
    <s v="주간"/>
    <s v="C/B"/>
    <x v="3"/>
    <s v="클라크"/>
    <s v="EPX16"/>
    <s v="EPX162-0340-9651KF"/>
    <d v="2007-01-01T00:00:00"/>
    <n v="0"/>
    <m/>
    <s v="N"/>
    <s v="엘소"/>
    <d v="2023-01-01T00:00:00"/>
    <d v="2024-04-01T00:00:00"/>
    <n v="780000"/>
    <n v="5000000"/>
    <n v="12195931"/>
    <s v="R002"/>
  </r>
  <r>
    <s v="CFB20-0015"/>
    <x v="2"/>
    <s v="임대"/>
    <s v="이상용"/>
    <m/>
    <s v="ZF삭스-15"/>
    <s v="주간"/>
    <s v="C/B"/>
    <x v="2"/>
    <s v="클라크"/>
    <s v="EPX20SFL"/>
    <s v="EPX162-3113-9958KF"/>
    <d v="2021-07-01T00:00:00"/>
    <n v="0"/>
    <m/>
    <s v="Y"/>
    <s v="엘소"/>
    <d v="2021-08-01T00:00:00"/>
    <d v="2021-08-01T00:00:00"/>
    <n v="800000"/>
    <n v="28000000"/>
    <n v="2368430"/>
    <s v="R002"/>
  </r>
  <r>
    <s v="CRB18-0016"/>
    <x v="6"/>
    <s v="임대"/>
    <s v="손화나"/>
    <s v="베스텍"/>
    <s v="베스텍-16"/>
    <s v="주간"/>
    <s v="입식"/>
    <x v="3"/>
    <s v="클라크"/>
    <s v="CRX18FL"/>
    <s v="CRX148-0797-9956KF"/>
    <d v="2017-01-01T00:00:00"/>
    <n v="0"/>
    <m/>
    <s v="Y"/>
    <s v="케이엔엘"/>
    <d v="2017-01-01T00:00:00"/>
    <d v="2024-11-01T00:00:00"/>
    <n v="450000"/>
    <n v="18600000"/>
    <n v="6243620"/>
    <s v="R008"/>
  </r>
  <r>
    <s v="CRB18-0017"/>
    <x v="2"/>
    <s v="임대"/>
    <s v="이상용"/>
    <m/>
    <s v="ZF삭스-17"/>
    <s v="주간"/>
    <s v="입식"/>
    <x v="3"/>
    <s v="클라크"/>
    <s v="CRX18FL"/>
    <s v="CRX148-0948-9956KF"/>
    <d v="2017-03-01T00:00:00"/>
    <n v="0"/>
    <m/>
    <s v="Y"/>
    <s v="엘소"/>
    <d v="2017-03-01T00:00:00"/>
    <d v="2017-03-01T00:00:00"/>
    <n v="600000"/>
    <n v="12920000"/>
    <n v="5853980"/>
    <s v="R002"/>
  </r>
  <r>
    <s v="CRB18-0018"/>
    <x v="2"/>
    <s v="임대"/>
    <s v="이상용"/>
    <m/>
    <s v="ZF삭스-18"/>
    <s v="주간"/>
    <s v="입식"/>
    <x v="3"/>
    <s v="클라크"/>
    <s v="CRX18FL"/>
    <s v="CRX148-2936-9956KF"/>
    <d v="2021-02-01T00:00:00"/>
    <n v="0"/>
    <m/>
    <s v="Y"/>
    <s v="엘소"/>
    <d v="2021-02-16T00:00:00"/>
    <d v="2021-02-16T00:00:00"/>
    <n v="630000"/>
    <n v="8500000"/>
    <n v="2437200"/>
    <s v="R002"/>
  </r>
  <r>
    <s v="CFB18-0019"/>
    <x v="4"/>
    <s v="임대"/>
    <s v="김종근"/>
    <s v="엘소창원공장"/>
    <s v="예비-19"/>
    <s v="주간"/>
    <s v="C/B"/>
    <x v="3"/>
    <s v="클라크"/>
    <s v="EPX18"/>
    <s v="EPX162-0967-9818KF"/>
    <d v="2012-01-01T00:00:00"/>
    <n v="0"/>
    <m/>
    <s v="Y"/>
    <s v="케이엔엘"/>
    <d v="2022-10-01T00:00:00"/>
    <d v="2024-05-01T00:00:00"/>
    <n v="0"/>
    <n v="8500000"/>
    <n v="10126550"/>
    <s v="R031"/>
  </r>
  <r>
    <s v="CTB40-0020"/>
    <x v="2"/>
    <s v="임대"/>
    <s v="이상용"/>
    <m/>
    <s v="ZF삭스-20"/>
    <s v="주간"/>
    <s v="C/B"/>
    <x v="4"/>
    <s v="클라크"/>
    <m/>
    <s v="CTX470-0439-9812KF"/>
    <d v="2015-03-01T00:00:00"/>
    <n v="0"/>
    <m/>
    <s v="N"/>
    <s v="엘소"/>
    <d v="2015-04-01T00:00:00"/>
    <d v="2015-04-01T00:00:00"/>
    <n v="400000"/>
    <n v="19200000"/>
    <n v="3881890"/>
    <s v="R002"/>
  </r>
  <r>
    <s v="CTB40-0021"/>
    <x v="2"/>
    <s v="임대"/>
    <s v="이상용"/>
    <m/>
    <s v="ZF삭스-21"/>
    <s v="주간"/>
    <s v="좌식"/>
    <x v="4"/>
    <s v="클라크"/>
    <m/>
    <s v="CTX470-0902-9812KF"/>
    <d v="2020-10-01T00:00:00"/>
    <n v="0"/>
    <m/>
    <s v="N"/>
    <s v="엘소"/>
    <d v="2020-10-01T00:00:00"/>
    <d v="2020-10-01T00:00:00"/>
    <n v="400000"/>
    <n v="28000000"/>
    <n v="230950"/>
    <s v="R002"/>
  </r>
  <r>
    <s v="TFB25-0022"/>
    <x v="7"/>
    <s v="임대"/>
    <s v="이승희"/>
    <s v="1공장-1층(용해)"/>
    <s v="대신-마산-22"/>
    <s v="주간"/>
    <s v="C/B"/>
    <x v="1"/>
    <s v="도요다"/>
    <m/>
    <s v="7FB25-49549 V3"/>
    <d v="2013-01-01T00:00:00"/>
    <n v="0"/>
    <m/>
    <s v="N"/>
    <s v="케이엔엘"/>
    <d v="2018-07-01T00:00:00"/>
    <d v="2018-07-01T00:00:00"/>
    <n v="500000"/>
    <n v="19800000"/>
    <n v="10712250"/>
    <s v="R003"/>
  </r>
  <r>
    <s v="TFB15-0023"/>
    <x v="7"/>
    <s v="임대"/>
    <s v="이승희"/>
    <s v="1공장-1층"/>
    <s v="대신-마산-23"/>
    <s v="주간"/>
    <s v="입식"/>
    <x v="5"/>
    <s v="도요다"/>
    <m/>
    <s v="7FBR15-21135"/>
    <d v="2006-01-01T00:00:00"/>
    <n v="0"/>
    <m/>
    <s v="N"/>
    <s v="케이엔엘"/>
    <d v="2018-07-01T00:00:00"/>
    <d v="2018-07-01T00:00:00"/>
    <n v="350000"/>
    <n v="4421000"/>
    <n v="15733140"/>
    <s v="R003"/>
  </r>
  <r>
    <s v="TFB25-0024"/>
    <x v="4"/>
    <s v="임대"/>
    <s v="김종근"/>
    <s v="엘소창원공장"/>
    <s v="예비-24"/>
    <s v="주간"/>
    <s v="C/B"/>
    <x v="1"/>
    <s v="도요다"/>
    <m/>
    <s v="7FB25-49792 V3"/>
    <d v="2013-01-01T00:00:00"/>
    <n v="0"/>
    <m/>
    <s v="N"/>
    <s v="케이엔엘"/>
    <d v="2018-07-01T00:00:00"/>
    <d v="2024-11-25T00:00:00"/>
    <n v="0"/>
    <n v="19700000"/>
    <n v="7696810"/>
    <s v="R031"/>
  </r>
  <r>
    <s v="TFB10-0025"/>
    <x v="7"/>
    <s v="임대"/>
    <s v="이승희"/>
    <s v="1공장-3층"/>
    <s v="대신-마산-25"/>
    <s v="주간"/>
    <s v="입식"/>
    <x v="6"/>
    <s v="TOYOTA"/>
    <m/>
    <s v="7FBRK9-11473 V2.5"/>
    <d v="2006-01-01T00:00:00"/>
    <n v="0"/>
    <m/>
    <s v="N"/>
    <s v="케이엔엘"/>
    <d v="2018-07-01T00:00:00"/>
    <d v="2018-07-01T00:00:00"/>
    <n v="350000"/>
    <n v="3300000"/>
    <n v="6130760"/>
    <s v="R003"/>
  </r>
  <r>
    <s v="CFB30-0026"/>
    <x v="7"/>
    <s v="임대"/>
    <s v="이승희"/>
    <s v="2공장-열처리"/>
    <s v="대신-마산-26"/>
    <s v="주간"/>
    <s v="C/B"/>
    <x v="0"/>
    <s v="클라크"/>
    <s v="EPX30"/>
    <s v="EPX360-7069-9652KF"/>
    <d v="2014-01-01T00:00:00"/>
    <n v="0"/>
    <m/>
    <s v="N"/>
    <s v="케이엔엘"/>
    <d v="2018-07-01T00:00:00"/>
    <d v="2018-07-01T00:00:00"/>
    <n v="700000"/>
    <n v="32920000"/>
    <n v="13736825"/>
    <s v="R003"/>
  </r>
  <r>
    <s v="TFB15-0027"/>
    <x v="7"/>
    <s v="임대"/>
    <s v="이승희"/>
    <s v="2공장-앨리슨"/>
    <s v="대신-마산-27"/>
    <s v="주간"/>
    <s v="입식"/>
    <x v="5"/>
    <s v="TOYOTA"/>
    <m/>
    <s v="7FBR15-54621 V3"/>
    <d v="2013-01-01T00:00:00"/>
    <n v="0"/>
    <m/>
    <s v="N"/>
    <s v="케이엔엘"/>
    <d v="2018-07-01T00:00:00"/>
    <d v="2018-07-01T00:00:00"/>
    <n v="350000"/>
    <n v="6900000"/>
    <n v="9114677"/>
    <s v="R003"/>
  </r>
  <r>
    <s v="CFB18-0028"/>
    <x v="8"/>
    <s v="임대"/>
    <s v="손화나"/>
    <s v="2공장"/>
    <s v="대동기어-28"/>
    <s v="주간"/>
    <s v="입식"/>
    <x v="3"/>
    <s v="클라크"/>
    <s v="CRX18"/>
    <s v="CRX148-3262-9658KF"/>
    <d v="2015-01-01T00:00:00"/>
    <n v="0"/>
    <m/>
    <s v="N"/>
    <s v="케이엔엘"/>
    <d v="2018-07-01T00:00:00"/>
    <d v="2025-04-01T00:00:00"/>
    <n v="442000"/>
    <n v="4121000"/>
    <n v="16615387"/>
    <s v="R046"/>
  </r>
  <r>
    <s v="TFB10-0029"/>
    <x v="7"/>
    <s v="임대"/>
    <s v="이승희"/>
    <s v="1공장-2층"/>
    <s v="대신-마산-29"/>
    <s v="주간"/>
    <s v="입식"/>
    <x v="6"/>
    <s v="TOYOTA"/>
    <m/>
    <s v="7F3RK10"/>
    <d v="2005-01-01T00:00:00"/>
    <n v="0"/>
    <m/>
    <s v="N"/>
    <s v="케이엔엘"/>
    <d v="2019-04-01T00:00:00"/>
    <d v="2019-04-01T00:00:00"/>
    <n v="350000"/>
    <n v="3500000"/>
    <n v="5225000"/>
    <s v="R003"/>
  </r>
  <r>
    <s v="TFB18-0030"/>
    <x v="9"/>
    <s v="임대"/>
    <s v="이승희"/>
    <s v="D반"/>
    <s v="대신-DSI-30"/>
    <s v="주간"/>
    <s v="입식"/>
    <x v="3"/>
    <s v="도요다"/>
    <m/>
    <s v="7FBR18-50359 V3"/>
    <d v="2012-01-01T00:00:00"/>
    <n v="0"/>
    <m/>
    <s v="N"/>
    <s v="케이엔엘"/>
    <d v="2018-07-01T00:00:00"/>
    <d v="2018-07-01T00:00:00"/>
    <n v="350000"/>
    <n v="8400000"/>
    <n v="7531482"/>
    <s v="R004"/>
  </r>
  <r>
    <s v="TFB10-0031"/>
    <x v="9"/>
    <s v="임대"/>
    <s v="이승희"/>
    <s v="S반(탬핑)"/>
    <s v="대신-DSI-31"/>
    <s v="주간"/>
    <s v="입식"/>
    <x v="6"/>
    <s v="TOYOTA"/>
    <m/>
    <s v="7FBRK10-10552 V3"/>
    <d v="2003-01-01T00:00:00"/>
    <n v="0"/>
    <m/>
    <s v="N"/>
    <s v="케이엔엘"/>
    <d v="2018-07-01T00:00:00"/>
    <d v="2018-07-01T00:00:00"/>
    <n v="350000"/>
    <n v="3221000"/>
    <n v="3249000"/>
    <s v="R004"/>
  </r>
  <r>
    <s v="TFB25-0032"/>
    <x v="9"/>
    <s v="임대"/>
    <s v="이승희"/>
    <s v="1층"/>
    <s v="대신-DSI-32"/>
    <s v="주간"/>
    <s v="C/B"/>
    <x v="1"/>
    <s v="도요다"/>
    <m/>
    <s v="7FB25-49399 V3"/>
    <d v="2012-01-01T00:00:00"/>
    <n v="0"/>
    <m/>
    <s v="N"/>
    <s v="케이엔엘"/>
    <d v="2018-07-01T00:00:00"/>
    <d v="2018-07-01T00:00:00"/>
    <n v="500000"/>
    <n v="17700000"/>
    <n v="8646780"/>
    <s v="R004"/>
  </r>
  <r>
    <s v="TFB15-0033"/>
    <x v="9"/>
    <s v="임대"/>
    <s v="이승희"/>
    <s v="1층"/>
    <s v="대신-DSI-33"/>
    <s v="주간"/>
    <s v="입식"/>
    <x v="5"/>
    <s v="TOYOTA"/>
    <m/>
    <s v="7FBRK10-50142 V3"/>
    <d v="2013-01-01T00:00:00"/>
    <n v="0"/>
    <m/>
    <s v="N"/>
    <s v="케이엔엘"/>
    <d v="2018-07-01T00:00:00"/>
    <d v="2018-07-01T00:00:00"/>
    <n v="350000"/>
    <n v="4321000"/>
    <n v="3671500"/>
    <s v="R004"/>
  </r>
  <r>
    <s v="EFB18-0034"/>
    <x v="9"/>
    <s v="임대"/>
    <s v="이승희"/>
    <s v="1층"/>
    <s v="대신-DSI-34"/>
    <s v="주간"/>
    <s v="입식"/>
    <x v="3"/>
    <s v="TCM"/>
    <m/>
    <s v="FR18-7-82P01858 V3"/>
    <d v="2008-01-01T00:00:00"/>
    <n v="0"/>
    <m/>
    <s v="N"/>
    <s v="케이엔엘"/>
    <d v="2018-07-01T00:00:00"/>
    <d v="2018-07-01T00:00:00"/>
    <n v="350000"/>
    <n v="5957000"/>
    <n v="3996000"/>
    <s v="R004"/>
  </r>
  <r>
    <s v="TFB15-0035"/>
    <x v="9"/>
    <s v="임대"/>
    <s v="이승희"/>
    <s v="2층"/>
    <s v="대신-DSI-35"/>
    <s v="주간"/>
    <s v="입식"/>
    <x v="5"/>
    <s v="TOYOTA"/>
    <m/>
    <s v="7FBR15-14430 V3"/>
    <d v="2003-01-01T00:00:00"/>
    <n v="0"/>
    <m/>
    <s v="N"/>
    <s v="케이엔엘"/>
    <d v="2018-07-01T00:00:00"/>
    <d v="2018-07-01T00:00:00"/>
    <n v="350000"/>
    <n v="3500000"/>
    <n v="3449500"/>
    <s v="R004"/>
  </r>
  <r>
    <s v="TFB25-0036"/>
    <x v="10"/>
    <s v="임대"/>
    <s v="이승희"/>
    <s v="압출5호"/>
    <s v="경남금속-36"/>
    <s v="주간"/>
    <s v="C/B"/>
    <x v="1"/>
    <s v="도요다"/>
    <s v="7FB25"/>
    <s v="7FB25-49347 V3"/>
    <d v="2012-01-01T00:00:00"/>
    <n v="0"/>
    <m/>
    <s v="N"/>
    <s v="케이엔엘"/>
    <d v="2018-07-01T00:00:00"/>
    <d v="2018-07-01T00:00:00"/>
    <n v="480000"/>
    <n v="21020000"/>
    <n v="12588290"/>
    <s v="R005"/>
  </r>
  <r>
    <s v="TFB25-0037"/>
    <x v="10"/>
    <s v="임대"/>
    <s v="이승희"/>
    <s v="압출2,3호"/>
    <s v="경남금속-37"/>
    <s v="주간"/>
    <s v="C/B"/>
    <x v="1"/>
    <s v="도요다"/>
    <s v="7FB25"/>
    <s v="7FB25-49525 V3"/>
    <d v="2013-01-01T00:00:00"/>
    <n v="0"/>
    <m/>
    <s v="N"/>
    <s v="케이엔엘"/>
    <d v="2018-07-01T00:00:00"/>
    <d v="2018-07-01T00:00:00"/>
    <n v="489000"/>
    <n v="18700000"/>
    <n v="15015120"/>
    <s v="R005"/>
  </r>
  <r>
    <s v="TFB15-0038"/>
    <x v="10"/>
    <s v="임대"/>
    <s v="이승희"/>
    <s v="수정반"/>
    <s v="경남금속-38"/>
    <s v="주간"/>
    <s v="C/B"/>
    <x v="5"/>
    <s v="도요다"/>
    <s v="7FBL15"/>
    <s v="7FBL15-21543 V3"/>
    <d v="2011-01-01T00:00:00"/>
    <n v="0"/>
    <m/>
    <s v="N"/>
    <s v="케이엔엘"/>
    <d v="2018-07-01T00:00:00"/>
    <d v="2018-07-01T00:00:00"/>
    <n v="360000"/>
    <n v="12870000"/>
    <n v="2227000"/>
    <s v="R005"/>
  </r>
  <r>
    <s v="CFB30-0039"/>
    <x v="10"/>
    <s v="임대"/>
    <s v="이승희"/>
    <s v="자재창고"/>
    <s v="경남금속-39"/>
    <s v="주간"/>
    <s v="C/B"/>
    <x v="0"/>
    <s v="클라크"/>
    <s v="EPX30"/>
    <s v="EPX360-0886-9837CNF"/>
    <d v="2018-07-01T00:00:00"/>
    <n v="0"/>
    <m/>
    <s v="N"/>
    <s v="케이엔엘"/>
    <d v="2018-07-01T00:00:00"/>
    <d v="2018-07-01T00:00:00"/>
    <n v="587000"/>
    <n v="26450000"/>
    <n v="9406010"/>
    <s v="R005"/>
  </r>
  <r>
    <s v="TFB25-0040"/>
    <x v="10"/>
    <s v="임대"/>
    <s v="이승희"/>
    <s v="용체"/>
    <s v="경남금속-40"/>
    <s v="주간"/>
    <s v="C/B"/>
    <x v="1"/>
    <s v="도요다"/>
    <s v="7FB25"/>
    <s v="7FB25-29587 V3"/>
    <d v="2006-01-01T00:00:00"/>
    <n v="0"/>
    <m/>
    <s v="N"/>
    <s v="케이엔엘"/>
    <d v="2018-07-01T00:00:00"/>
    <d v="2018-07-01T00:00:00"/>
    <n v="450000"/>
    <n v="14020000"/>
    <n v="8700925"/>
    <s v="R005"/>
  </r>
  <r>
    <s v="CFB30-0041"/>
    <x v="10"/>
    <s v="임대"/>
    <s v="이승희"/>
    <s v="출하"/>
    <s v="경남금속-41"/>
    <s v="주간"/>
    <s v="C/B"/>
    <x v="0"/>
    <s v="클라크"/>
    <m/>
    <s v="EPX360-0885-9837CNF"/>
    <d v="2018-07-01T00:00:00"/>
    <n v="0"/>
    <m/>
    <s v="N"/>
    <s v="케이엔엘"/>
    <d v="2018-07-01T00:00:00"/>
    <d v="2018-07-01T00:00:00"/>
    <n v="566000"/>
    <n v="26450000"/>
    <n v="9935200"/>
    <s v="R005"/>
  </r>
  <r>
    <s v="TFB25-0042"/>
    <x v="7"/>
    <s v="임대"/>
    <s v="이승희"/>
    <s v="1공장-1층"/>
    <s v="대신-마산-42"/>
    <s v="주간"/>
    <s v="C/B"/>
    <x v="1"/>
    <s v="도요다"/>
    <s v="7FB25"/>
    <s v="7FB25-35402 F3"/>
    <d v="2008-01-01T00:00:00"/>
    <n v="0"/>
    <m/>
    <s v="N"/>
    <s v="케이엔엘"/>
    <d v="2018-07-01T00:00:00"/>
    <d v="2024-11-27T00:00:00"/>
    <n v="500000"/>
    <n v="16400000"/>
    <n v="13324410"/>
    <s v="R003"/>
  </r>
  <r>
    <s v="TFB25-0043"/>
    <x v="10"/>
    <s v="임대"/>
    <s v="이승희"/>
    <s v="피막"/>
    <s v="경남금속-43"/>
    <s v="주간"/>
    <s v="C/B"/>
    <x v="1"/>
    <s v="도요다"/>
    <m/>
    <s v="7FB25-43165 V3"/>
    <d v="2010-01-01T00:00:00"/>
    <n v="0"/>
    <m/>
    <s v="N"/>
    <s v="케이엔엘"/>
    <d v="2018-07-01T00:00:00"/>
    <d v="2018-07-01T00:00:00"/>
    <n v="484000"/>
    <n v="17700000"/>
    <n v="7999920"/>
    <s v="R005"/>
  </r>
  <r>
    <s v="TFB25-0044"/>
    <x v="4"/>
    <s v="임대"/>
    <s v="김종근"/>
    <s v="엘소창원공장"/>
    <s v="예비-44"/>
    <s v="주간"/>
    <s v="C/B"/>
    <x v="1"/>
    <s v="도요다"/>
    <s v="7FB25"/>
    <s v="7FB25-52118 V3"/>
    <d v="2014-01-01T00:00:00"/>
    <n v="0"/>
    <m/>
    <s v="N"/>
    <s v="케이엔엘"/>
    <d v="2018-07-01T00:00:00"/>
    <d v="2025-05-01T00:00:00"/>
    <n v="0"/>
    <n v="19920000"/>
    <n v="7185000"/>
    <s v="R031"/>
  </r>
  <r>
    <s v="TFB15-0045"/>
    <x v="10"/>
    <s v="임대"/>
    <s v="이승희"/>
    <s v="모노프레임"/>
    <s v="경남금속-45"/>
    <s v="주간"/>
    <s v="C/B"/>
    <x v="5"/>
    <s v="도요다"/>
    <m/>
    <s v="7FB15-57363 V3"/>
    <d v="2012-01-01T00:00:00"/>
    <n v="0"/>
    <m/>
    <s v="N"/>
    <s v="케이엔엘"/>
    <d v="2018-07-01T00:00:00"/>
    <d v="2018-07-01T00:00:00"/>
    <n v="500000"/>
    <n v="12660000"/>
    <n v="11848550"/>
    <s v="R005"/>
  </r>
  <r>
    <s v="TFB15-0046"/>
    <x v="11"/>
    <s v="임대"/>
    <s v="이승희"/>
    <s v="대신 창원공장"/>
    <s v="대신-창원-46"/>
    <s v="2교대"/>
    <s v="입식"/>
    <x v="5"/>
    <s v="도요다"/>
    <m/>
    <s v="7FBR15-50942 V3.5"/>
    <d v="2012-01-01T00:00:00"/>
    <n v="0"/>
    <m/>
    <s v="N"/>
    <s v="케이엔엘"/>
    <d v="2018-07-01T00:00:00"/>
    <d v="2025-01-09T00:00:00"/>
    <n v="550000"/>
    <n v="6721000"/>
    <n v="5016010"/>
    <s v="R006"/>
  </r>
  <r>
    <s v="HFO40-0047"/>
    <x v="10"/>
    <s v="임대"/>
    <s v="이승희"/>
    <m/>
    <s v="경남금속-47"/>
    <s v="주간"/>
    <s v="C/B"/>
    <x v="4"/>
    <s v="현대"/>
    <s v="40DE"/>
    <s v="HHIHFV14JB0000086"/>
    <d v="2011-01-01T00:00:00"/>
    <n v="0"/>
    <s v="경남04노5137"/>
    <s v="N"/>
    <s v="케이엔엘"/>
    <d v="2018-09-01T00:00:00"/>
    <d v="2018-09-01T00:00:00"/>
    <n v="751000"/>
    <n v="18500000"/>
    <n v="18386530"/>
    <s v="R005"/>
  </r>
  <r>
    <s v="EFB15-0048"/>
    <x v="10"/>
    <s v="임대"/>
    <s v="이승희"/>
    <s v="표준화공장"/>
    <s v="경남금속-48"/>
    <s v="주간"/>
    <s v="입식"/>
    <x v="5"/>
    <s v="KOMATSU"/>
    <m/>
    <s v="FB15RS-12-90816 V3"/>
    <d v="2006-01-01T00:00:00"/>
    <n v="0"/>
    <m/>
    <s v="N"/>
    <s v="케이엔엘"/>
    <d v="2018-09-21T00:00:00"/>
    <d v="2018-09-21T00:00:00"/>
    <n v="360000"/>
    <n v="6167000"/>
    <n v="213320"/>
    <s v="R005"/>
  </r>
  <r>
    <s v="EFB15-0049"/>
    <x v="12"/>
    <s v="임대"/>
    <s v="김종근"/>
    <s v="울산"/>
    <s v="울산창고"/>
    <s v="주간"/>
    <s v="C/B"/>
    <x v="5"/>
    <s v="KOMATSU"/>
    <m/>
    <s v="FB15EX-11-811004 V3"/>
    <d v="2005-01-01T00:00:00"/>
    <n v="0"/>
    <m/>
    <s v="N"/>
    <s v="케이엔엘"/>
    <d v="2018-11-22T00:00:00"/>
    <d v="2023-07-01T00:00:00"/>
    <n v="560000"/>
    <n v="9270000"/>
    <n v="254700"/>
    <s v="R027"/>
  </r>
  <r>
    <s v="CFB25-0050"/>
    <x v="10"/>
    <s v="임대"/>
    <s v="이승희"/>
    <m/>
    <s v="경남금속-50"/>
    <s v="주간"/>
    <s v="C/B"/>
    <x v="1"/>
    <s v="클라크"/>
    <s v="EPX25Q"/>
    <s v="EPX360-0685-9837CNF"/>
    <d v="2017-12-01T00:00:00"/>
    <n v="0"/>
    <m/>
    <s v="N"/>
    <s v="케이엔엘"/>
    <d v="2018-07-01T00:00:00"/>
    <d v="2018-07-01T00:00:00"/>
    <n v="458000"/>
    <n v="22500000"/>
    <n v="5883110"/>
    <s v="R005"/>
  </r>
  <r>
    <s v="TFB15-0051"/>
    <x v="4"/>
    <s v="임대"/>
    <s v="김종근"/>
    <s v="엘소창원공장"/>
    <s v="예비-51"/>
    <s v="주간"/>
    <s v="C/B"/>
    <x v="5"/>
    <s v="도요다"/>
    <m/>
    <s v="7FBL15-13468 V3 FM"/>
    <d v="2003-01-01T00:00:00"/>
    <n v="0"/>
    <m/>
    <s v="N"/>
    <s v="케이엔엘"/>
    <d v="2019-06-01T00:00:00"/>
    <d v="2025-05-01T00:00:00"/>
    <n v="0"/>
    <n v="10830000"/>
    <n v="5981960"/>
    <s v="R031"/>
  </r>
  <r>
    <s v="CFO30-0052"/>
    <x v="11"/>
    <s v="임대"/>
    <s v="이승희"/>
    <m/>
    <s v="대신-창원-52"/>
    <s v="주간"/>
    <s v="C/B"/>
    <x v="0"/>
    <s v="클라크"/>
    <s v="GTS30KD"/>
    <s v="GTS232D-0161-9996KF"/>
    <d v="2018-07-01T00:00:00"/>
    <n v="0"/>
    <s v="04노8262"/>
    <s v="N"/>
    <s v="케이엔엘"/>
    <d v="2018-07-01T00:00:00"/>
    <d v="2018-07-01T00:00:00"/>
    <n v="700000"/>
    <n v="29490000"/>
    <n v="17746695"/>
    <s v="R006"/>
  </r>
  <r>
    <s v="CFO30-0053"/>
    <x v="11"/>
    <s v="임대"/>
    <s v="이승희"/>
    <m/>
    <s v="대신-창원-53"/>
    <s v="주간"/>
    <s v="C/B"/>
    <x v="0"/>
    <s v="클라크"/>
    <s v="GTS30KD"/>
    <s v="GTS232D-0163-9996KF"/>
    <d v="2018-07-01T00:00:00"/>
    <n v="0"/>
    <s v="04노8260"/>
    <s v="N"/>
    <s v="케이엔엘"/>
    <d v="2018-07-01T00:00:00"/>
    <d v="2018-07-01T00:00:00"/>
    <n v="700000"/>
    <n v="27360000"/>
    <n v="10690015"/>
    <s v="R006"/>
  </r>
  <r>
    <s v="CFO30-0054"/>
    <x v="11"/>
    <s v="임대"/>
    <s v="이승희"/>
    <m/>
    <s v="대신-창원-54"/>
    <s v="주간"/>
    <s v="C/B"/>
    <x v="0"/>
    <s v="클라크"/>
    <s v="GTS30KD"/>
    <s v="GTS232D-0164-9996KF"/>
    <d v="2018-07-01T00:00:00"/>
    <n v="0"/>
    <s v="04노8261"/>
    <s v="N"/>
    <s v="케이엔엘"/>
    <d v="2018-07-01T00:00:00"/>
    <d v="2018-07-01T00:00:00"/>
    <n v="700000"/>
    <n v="27360000"/>
    <n v="36968790"/>
    <s v="R006"/>
  </r>
  <r>
    <s v="CFO30-0055"/>
    <x v="11"/>
    <s v="임대"/>
    <s v="이승희"/>
    <m/>
    <s v="대신-창원-55"/>
    <s v="주간"/>
    <s v="C/B"/>
    <x v="0"/>
    <s v="클라크"/>
    <s v="GTS30KD"/>
    <s v="GTS232D-0162-9996KF"/>
    <d v="2018-07-01T00:00:00"/>
    <n v="0"/>
    <s v="04노8263"/>
    <s v="N"/>
    <s v="케이엔엘"/>
    <d v="2018-07-01T00:00:00"/>
    <d v="2018-07-01T00:00:00"/>
    <n v="700000"/>
    <n v="27850000"/>
    <n v="9457150"/>
    <s v="R006"/>
  </r>
  <r>
    <s v="DFO50-0056"/>
    <x v="4"/>
    <s v="임대"/>
    <s v="김종근"/>
    <s v="엘소창원공장"/>
    <s v="예비-56"/>
    <s v="주간"/>
    <s v="C/B"/>
    <x v="7"/>
    <s v="두산"/>
    <s v="D50SE-7"/>
    <s v="FDB13-1930-00386"/>
    <d v="2019-05-01T00:00:00"/>
    <n v="199"/>
    <s v="04노8555"/>
    <s v="N"/>
    <s v="케이엔엘"/>
    <d v="2019-04-30T00:00:00"/>
    <d v="2024-12-01T00:00:00"/>
    <n v="0"/>
    <n v="49315000"/>
    <n v="4519300"/>
    <s v="R031"/>
  </r>
  <r>
    <s v="DFOA6-0057"/>
    <x v="13"/>
    <s v="임대"/>
    <s v="이승희"/>
    <s v="신평공장"/>
    <s v="대한제강-57"/>
    <s v="주간"/>
    <s v="C/B"/>
    <x v="8"/>
    <s v="두산"/>
    <s v="D160S-7"/>
    <s v="FDC0B-2290-00084"/>
    <d v="2016-06-07T00:00:00"/>
    <n v="0"/>
    <s v="경남04노8784"/>
    <s v="Y"/>
    <s v="청운로지스"/>
    <d v="2020-01-01T00:00:00"/>
    <d v="2020-01-01T00:00:00"/>
    <n v="4000000"/>
    <n v="72975000"/>
    <n v="135424762"/>
    <s v="R007"/>
  </r>
  <r>
    <s v="DFOA6-0058"/>
    <x v="13"/>
    <s v="임대"/>
    <s v="이승희"/>
    <s v="신평공장"/>
    <s v="대한제강-58"/>
    <s v="주간"/>
    <s v="C/B"/>
    <x v="8"/>
    <s v="두산"/>
    <s v="D160S-5PLUS"/>
    <s v="FDC04-1650-00057"/>
    <d v="2011-06-13T00:00:00"/>
    <n v="0"/>
    <s v="경남04노8789"/>
    <s v="Y"/>
    <s v="청운로지스"/>
    <d v="2020-01-01T00:00:00"/>
    <d v="2020-01-01T00:00:00"/>
    <n v="4000000"/>
    <n v="55675000"/>
    <n v="134426954"/>
    <s v="R007"/>
  </r>
  <r>
    <s v="DFOA6-0059"/>
    <x v="13"/>
    <s v="임대"/>
    <s v="이승희"/>
    <s v="녹산공장"/>
    <s v="대한제강-59"/>
    <s v="주간"/>
    <s v="C/B"/>
    <x v="8"/>
    <s v="두산"/>
    <s v="D160S-7"/>
    <s v="FDC0B-2290-00085"/>
    <d v="2016-06-07T00:00:00"/>
    <n v="0"/>
    <s v="경남04노8785"/>
    <s v="Y"/>
    <s v="청운로지스"/>
    <d v="2020-01-01T00:00:00"/>
    <d v="2020-01-01T00:00:00"/>
    <n v="4000000"/>
    <n v="72975000"/>
    <n v="148549987"/>
    <s v="R007"/>
  </r>
  <r>
    <s v="DFOA6-0060"/>
    <x v="14"/>
    <s v="매각"/>
    <s v="고광민"/>
    <m/>
    <s v="매각"/>
    <s v="주간"/>
    <s v="C/B"/>
    <x v="8"/>
    <s v="두산"/>
    <s v="D160S-5"/>
    <s v="D160S5-00622"/>
    <d v="2009-09-18T00:00:00"/>
    <n v="0"/>
    <s v="경남04노8790"/>
    <s v="Y"/>
    <s v="청운로지스"/>
    <d v="2020-01-01T00:00:00"/>
    <d v="2023-05-13T00:00:00"/>
    <n v="0"/>
    <n v="42175000"/>
    <n v="78575471"/>
    <s v="S001"/>
  </r>
  <r>
    <s v="DFOA6-0061"/>
    <x v="15"/>
    <s v="매각"/>
    <s v="고광민"/>
    <s v="매각"/>
    <s v="매각"/>
    <s v="주간"/>
    <s v="C/B"/>
    <x v="8"/>
    <s v="두산"/>
    <s v="D160S-5"/>
    <s v="D160S5-00664"/>
    <d v="2009-12-03T00:00:00"/>
    <n v="0"/>
    <s v="경남04노8791"/>
    <s v="Y"/>
    <s v="청운로지스"/>
    <d v="2020-01-01T00:00:00"/>
    <d v="2024-12-11T00:00:00"/>
    <n v="0"/>
    <n v="42175000"/>
    <n v="148244005"/>
    <s v="S002"/>
  </r>
  <r>
    <s v="HFOA6-0062"/>
    <x v="14"/>
    <s v="매각"/>
    <s v="고광민"/>
    <s v="매각"/>
    <s v="매각"/>
    <s v="주간"/>
    <s v="C/B"/>
    <x v="8"/>
    <s v="현대"/>
    <s v="160D"/>
    <s v="FT0410084"/>
    <d v="2008-05-23T00:00:00"/>
    <n v="0"/>
    <s v="경남04노8788"/>
    <s v="Y"/>
    <s v="청운로지스"/>
    <d v="2020-01-01T00:00:00"/>
    <d v="2023-07-26T00:00:00"/>
    <n v="0"/>
    <n v="29675000"/>
    <n v="82639963"/>
    <s v="S001"/>
  </r>
  <r>
    <s v="DFO70-0063"/>
    <x v="13"/>
    <s v="임대"/>
    <s v="이승희"/>
    <s v="신평공장"/>
    <s v="대한제강-63"/>
    <s v="주간"/>
    <s v="C/B"/>
    <x v="9"/>
    <s v="두산"/>
    <s v="D70S-7"/>
    <s v="FDB0V-2340-01607"/>
    <d v="2016-06-07T00:00:00"/>
    <n v="0"/>
    <s v="경남04노8786"/>
    <s v="Y"/>
    <s v="청운로지스"/>
    <d v="2020-01-01T00:00:00"/>
    <d v="2020-01-01T00:00:00"/>
    <n v="1700000"/>
    <n v="42175000"/>
    <n v="55263131"/>
    <s v="R007"/>
  </r>
  <r>
    <s v="DFO70-0064"/>
    <x v="13"/>
    <s v="임대"/>
    <s v="이승희"/>
    <s v="녹산공장"/>
    <s v="대한제강-64"/>
    <s v="주간"/>
    <s v="C/B"/>
    <x v="9"/>
    <s v="두산"/>
    <s v="D70S-7"/>
    <s v="FDB0V-2340-01614"/>
    <d v="2016-06-07T00:00:00"/>
    <n v="0"/>
    <s v="경남04노8787"/>
    <s v="Y"/>
    <s v="청운로지스"/>
    <d v="2020-01-01T00:00:00"/>
    <d v="2020-01-01T00:00:00"/>
    <n v="1700000"/>
    <n v="42175000"/>
    <n v="61830651"/>
    <s v="R007"/>
  </r>
  <r>
    <s v="TFB15-0065"/>
    <x v="6"/>
    <s v="임대"/>
    <s v="손화나"/>
    <s v="밀양공장"/>
    <s v="베스텍-65"/>
    <s v="주간"/>
    <s v="C/B"/>
    <x v="5"/>
    <s v="도요다"/>
    <s v="7FBR15"/>
    <s v="7FBR15-53832"/>
    <d v="2013-01-01T00:00:00"/>
    <n v="0"/>
    <m/>
    <s v="Y"/>
    <s v="케이엔엘"/>
    <d v="2019-01-21T00:00:00"/>
    <d v="2019-01-21T00:00:00"/>
    <n v="500000"/>
    <n v="8007000"/>
    <n v="903000"/>
    <s v="R008"/>
  </r>
  <r>
    <s v="DFB30-0066"/>
    <x v="6"/>
    <s v="임대"/>
    <s v="손화나"/>
    <s v="밀양공장"/>
    <s v="베스텍-66"/>
    <s v="주간"/>
    <s v="C/B"/>
    <x v="0"/>
    <s v="두산"/>
    <s v="B30S-5"/>
    <s v="B30S5-0137"/>
    <d v="2010-01-01T00:00:00"/>
    <n v="0"/>
    <m/>
    <s v="Y"/>
    <s v="케이엔엘"/>
    <d v="2018-08-01T00:00:00"/>
    <d v="2018-08-01T00:00:00"/>
    <n v="650000"/>
    <n v="15500000"/>
    <n v="3108000"/>
    <s v="R008"/>
  </r>
  <r>
    <s v="ECB00-0067"/>
    <x v="6"/>
    <s v="임대"/>
    <s v="손화나"/>
    <s v="밀양공장"/>
    <s v="베스텍-67"/>
    <s v="주간"/>
    <s v="좌식"/>
    <x v="10"/>
    <s v="TASKI"/>
    <s v="swingo 4000"/>
    <s v="7518-6630-10312"/>
    <d v="2020-08-01T00:00:00"/>
    <n v="0"/>
    <m/>
    <s v="N"/>
    <s v="케이엔엘"/>
    <d v="2020-08-01T00:00:00"/>
    <d v="2020-08-01T00:00:00"/>
    <n v="800000"/>
    <n v="12000000"/>
    <m/>
    <s v="R008"/>
  </r>
  <r>
    <s v="DRB25-0068"/>
    <x v="16"/>
    <s v="임대"/>
    <s v="이승희"/>
    <m/>
    <s v="비앤스틸라-68"/>
    <s v="주간"/>
    <s v="입식"/>
    <x v="1"/>
    <s v="두산"/>
    <s v="BR25S-9"/>
    <s v="FRA0V-1380-00391"/>
    <d v="2021-06-01T00:00:00"/>
    <n v="0"/>
    <m/>
    <s v="N"/>
    <s v="케이엔엘"/>
    <d v="2021-06-01T00:00:00"/>
    <d v="2021-06-01T00:00:00"/>
    <n v="600000"/>
    <n v="23850000"/>
    <n v="736320"/>
    <s v="R009"/>
  </r>
  <r>
    <s v="DFB30-0069"/>
    <x v="16"/>
    <s v="임대"/>
    <s v="이승희"/>
    <m/>
    <s v="비앤스틸라-69"/>
    <s v="주간"/>
    <s v="C/B"/>
    <x v="0"/>
    <s v="두산"/>
    <s v="B30NS"/>
    <s v="FBA48-3690-000461"/>
    <d v="2021-06-01T00:00:00"/>
    <n v="0"/>
    <m/>
    <s v="N"/>
    <s v="케이엔엘"/>
    <d v="2021-06-01T00:00:00"/>
    <d v="2021-06-01T00:00:00"/>
    <n v="837760"/>
    <n v="25200000"/>
    <n v="1948600"/>
    <s v="R009"/>
  </r>
  <r>
    <s v="DFB30-0070"/>
    <x v="16"/>
    <s v="임대"/>
    <s v="이승희"/>
    <m/>
    <s v="비앤스틸라-70"/>
    <s v="주간"/>
    <s v="C/B"/>
    <x v="0"/>
    <s v="두산"/>
    <s v="B30NS"/>
    <s v="FBA48-3690-000322"/>
    <d v="2021-06-01T00:00:00"/>
    <n v="0"/>
    <m/>
    <s v="N"/>
    <s v="케이엔엘"/>
    <d v="2021-06-01T00:00:00"/>
    <d v="2021-06-01T00:00:00"/>
    <n v="837760"/>
    <n v="25200000"/>
    <n v="2041920"/>
    <s v="R009"/>
  </r>
  <r>
    <s v="DFO33-0071"/>
    <x v="16"/>
    <s v="임대"/>
    <s v="이승희"/>
    <m/>
    <s v="비앤스틸라-71"/>
    <s v="주간"/>
    <s v="C/B"/>
    <x v="11"/>
    <s v="두산"/>
    <s v="D33SE-7"/>
    <s v="FDA0S-2340-02518"/>
    <d v="2021-06-01T00:00:00"/>
    <n v="0"/>
    <s v="경남04도5313"/>
    <s v="Y"/>
    <s v="케이엔엘"/>
    <d v="2021-06-01T00:00:00"/>
    <d v="2021-06-01T00:00:00"/>
    <n v="906900"/>
    <n v="36250000"/>
    <n v="1974090"/>
    <s v="R009"/>
  </r>
  <r>
    <s v="TFB18-0072"/>
    <x v="17"/>
    <s v="임대"/>
    <s v="이승희"/>
    <m/>
    <s v="산호수출포장-72"/>
    <s v="주간"/>
    <s v="입식"/>
    <x v="3"/>
    <s v="도요다"/>
    <m/>
    <s v="7FBR18-50696 V3"/>
    <d v="2013-01-01T00:00:00"/>
    <n v="0"/>
    <m/>
    <s v="N"/>
    <s v="케이엔엘"/>
    <d v="2019-06-01T00:00:00"/>
    <d v="2019-06-01T00:00:00"/>
    <n v="600000"/>
    <n v="8307000"/>
    <n v="1178217"/>
    <s v="R010"/>
  </r>
  <r>
    <s v="CFO25-0073"/>
    <x v="17"/>
    <s v="임대"/>
    <s v="이승희"/>
    <m/>
    <s v="산호수출포장-73"/>
    <s v="주간"/>
    <s v="C/B"/>
    <x v="1"/>
    <s v="클라크"/>
    <s v="S25D"/>
    <s v="S232D-0547-10005KF"/>
    <d v="2019-01-01T00:00:00"/>
    <n v="0"/>
    <s v="04노8502"/>
    <s v="Y"/>
    <s v="케이엔엘"/>
    <d v="2019-02-28T00:00:00"/>
    <d v="2019-02-28T00:00:00"/>
    <n v="820000"/>
    <n v="29700000"/>
    <n v="5604663"/>
    <s v="R010"/>
  </r>
  <r>
    <s v="CFB25-0074"/>
    <x v="17"/>
    <s v="임대"/>
    <s v="이승희"/>
    <m/>
    <s v="산호수출포장-74"/>
    <s v="주간"/>
    <s v="C/B"/>
    <x v="1"/>
    <s v="클라크"/>
    <m/>
    <s v="EPX360FL 46919959KF"/>
    <d v="2021-07-29T00:00:00"/>
    <n v="0"/>
    <m/>
    <s v="Y"/>
    <s v="케이엔엘"/>
    <d v="2021-07-31T00:00:00"/>
    <d v="2021-07-31T00:00:00"/>
    <n v="850000"/>
    <n v="31500000"/>
    <m/>
    <s v="R010"/>
  </r>
  <r>
    <s v="CFO35-0075"/>
    <x v="4"/>
    <s v="임대"/>
    <s v="김종근"/>
    <s v="엘소창원공장"/>
    <s v="예비-75"/>
    <s v="주간"/>
    <s v="C/B"/>
    <x v="12"/>
    <s v="클라크"/>
    <s v="FX353D-2"/>
    <s v="CMP450D-1691-9588KF"/>
    <d v="2008-01-01T00:00:00"/>
    <n v="0"/>
    <s v="04고7626"/>
    <s v="N"/>
    <s v="케이엔엘"/>
    <d v="2018-09-01T00:00:00"/>
    <d v="2024-06-01T00:00:00"/>
    <n v="0"/>
    <n v="9830710"/>
    <n v="8620502"/>
    <s v="R031"/>
  </r>
  <r>
    <s v="CFO45-0076"/>
    <x v="17"/>
    <s v="임대"/>
    <s v="이승희"/>
    <m/>
    <s v="산호수출포장-76"/>
    <s v="주간"/>
    <s v="C/B"/>
    <x v="13"/>
    <s v="클라크"/>
    <s v="C45KD"/>
    <s v="P455D-0216-9964KF"/>
    <d v="2018-08-01T00:00:00"/>
    <n v="0"/>
    <s v="04노8358"/>
    <s v="Y"/>
    <s v="케이엔엘"/>
    <d v="2018-09-01T00:00:00"/>
    <d v="2018-09-01T00:00:00"/>
    <n v="1080000"/>
    <n v="44000000"/>
    <n v="8022309"/>
    <s v="R010"/>
  </r>
  <r>
    <s v="CFO80-0077"/>
    <x v="17"/>
    <s v="임대"/>
    <s v="이승희"/>
    <m/>
    <s v="산호수출포장-77"/>
    <s v="주간"/>
    <s v="C/B"/>
    <x v="14"/>
    <s v="클라크"/>
    <s v="C80DH"/>
    <s v="P680D-0080-9979KF"/>
    <d v="2019-01-01T00:00:00"/>
    <n v="0"/>
    <s v="04노8757"/>
    <s v="Y"/>
    <s v="케이엔엘"/>
    <d v="2019-12-11T00:00:00"/>
    <d v="2019-12-11T00:00:00"/>
    <n v="1500000"/>
    <n v="64600000"/>
    <n v="8065727"/>
    <s v="R010"/>
  </r>
  <r>
    <s v="CFO35-0078"/>
    <x v="17"/>
    <s v="임대"/>
    <s v="이승희"/>
    <m/>
    <s v="산호수출포장-78"/>
    <s v="주간"/>
    <s v="C/B"/>
    <x v="12"/>
    <s v="클라크"/>
    <s v="C35KD"/>
    <s v="P455D-0050-9783KF"/>
    <d v="2011-01-01T00:00:00"/>
    <n v="0"/>
    <s v="04고8819"/>
    <s v="Y"/>
    <s v="케이엔엘"/>
    <d v="2018-09-01T00:00:00"/>
    <d v="2018-09-01T00:00:00"/>
    <n v="850000"/>
    <n v="11000000"/>
    <n v="9207137"/>
    <s v="R010"/>
  </r>
  <r>
    <s v="CFO45-0079"/>
    <x v="17"/>
    <s v="임대"/>
    <s v="이승희"/>
    <m/>
    <s v="산호수출포장-79"/>
    <s v="주간"/>
    <s v="C/B"/>
    <x v="13"/>
    <s v="클라크"/>
    <s v="C45KD"/>
    <s v="P455D-0439-9964KF"/>
    <d v="2022-01-01T00:00:00"/>
    <n v="0"/>
    <s v="04노5538"/>
    <s v="Y"/>
    <s v="케이엔엘"/>
    <d v="2022-01-30T00:00:00"/>
    <d v="2022-01-30T00:00:00"/>
    <n v="1250000"/>
    <n v="51000000"/>
    <n v="797740"/>
    <s v="R010"/>
  </r>
  <r>
    <s v="DFO70-0080"/>
    <x v="15"/>
    <s v="매각"/>
    <s v="고광민"/>
    <m/>
    <s v="매각"/>
    <s v="주간"/>
    <s v="C/B"/>
    <x v="9"/>
    <s v="두산"/>
    <s v="D70EV-7PLUS"/>
    <s v="FDB0V-2610-02432"/>
    <d v="2017-01-01T00:00:00"/>
    <n v="0"/>
    <s v="경남04노7894"/>
    <s v="Y"/>
    <s v="코스"/>
    <d v="2017-09-01T00:00:00"/>
    <d v="2023-05-13T00:00:00"/>
    <n v="0"/>
    <n v="62500000"/>
    <n v="30018997"/>
    <s v="S002"/>
  </r>
  <r>
    <s v="DFO70-0081"/>
    <x v="4"/>
    <s v="임대"/>
    <s v="김종근"/>
    <s v="엘소창원공장"/>
    <s v="예비-81"/>
    <s v="주간"/>
    <s v="C/B"/>
    <x v="9"/>
    <s v="두산"/>
    <s v="D70EV-7PLUS"/>
    <s v="FDB0V-2610-03745"/>
    <d v="2019-12-01T00:00:00"/>
    <n v="0"/>
    <s v="경남04노8758"/>
    <s v="Y"/>
    <s v="케이엔엘"/>
    <d v="2019-12-01T00:00:00"/>
    <d v="2024-06-01T00:00:00"/>
    <n v="0"/>
    <n v="61450000"/>
    <n v="14726080"/>
    <s v="R031"/>
  </r>
  <r>
    <s v="DFO45-0082"/>
    <x v="5"/>
    <s v="임대"/>
    <s v="이승희"/>
    <s v="디와이파워"/>
    <s v="1Y-2"/>
    <s v="주간"/>
    <s v="C/B"/>
    <x v="13"/>
    <s v="두산"/>
    <s v="D45SE-7"/>
    <s v="FDB12-1930-01140"/>
    <d v="2019-04-01T00:00:00"/>
    <n v="0"/>
    <s v="경남04노8543"/>
    <s v="Y"/>
    <s v="케이엔엘"/>
    <d v="2023-07-01T00:00:00"/>
    <d v="2023-07-01T00:00:00"/>
    <n v="750000"/>
    <n v="47430000"/>
    <n v="19199803"/>
    <s v="R018"/>
  </r>
  <r>
    <s v="CFB18-0083"/>
    <x v="18"/>
    <s v="임대"/>
    <s v="이승희"/>
    <s v="현장-1공장"/>
    <s v="이래CS-83"/>
    <s v="주간"/>
    <s v="C/B"/>
    <x v="3"/>
    <s v="클라크"/>
    <s v="GEX18S"/>
    <s v="GEX162 2759 9675KF"/>
    <d v="2017-12-01T00:00:00"/>
    <n v="0"/>
    <m/>
    <s v="N"/>
    <s v="케이엔엘"/>
    <d v="2017-12-01T00:00:00"/>
    <d v="2023-03-01T00:00:00"/>
    <n v="650000"/>
    <n v="21600000"/>
    <n v="9165167"/>
    <s v="R012"/>
  </r>
  <r>
    <s v="CFB18-0084"/>
    <x v="18"/>
    <s v="임대"/>
    <s v="이승희"/>
    <s v="2층-1공장"/>
    <s v="이래CS-84"/>
    <s v="주간"/>
    <s v="C/B"/>
    <x v="3"/>
    <s v="클라크"/>
    <s v="GEX18S"/>
    <s v="GEX162 2757 9675KF"/>
    <d v="2017-12-01T00:00:00"/>
    <n v="0"/>
    <m/>
    <s v="N"/>
    <s v="케이엔엘"/>
    <d v="2017-12-01T00:00:00"/>
    <d v="2017-12-01T00:00:00"/>
    <n v="650000"/>
    <n v="22600000"/>
    <n v="2173677"/>
    <s v="R012"/>
  </r>
  <r>
    <s v="CFB18-0085"/>
    <x v="18"/>
    <s v="임대"/>
    <s v="이승희"/>
    <s v="2층-1공장"/>
    <s v="이래CS-85"/>
    <s v="주간"/>
    <s v="C/B"/>
    <x v="3"/>
    <s v="클라크"/>
    <s v="GEX18S"/>
    <s v="GEX162-2756-9675KF"/>
    <d v="2017-12-01T00:00:00"/>
    <n v="0"/>
    <m/>
    <s v="N"/>
    <s v="케이엔엘"/>
    <d v="2017-12-01T00:00:00"/>
    <d v="2017-12-01T00:00:00"/>
    <n v="650000"/>
    <n v="22600000"/>
    <n v="1366997"/>
    <s v="R012"/>
  </r>
  <r>
    <s v="CFB25-0086"/>
    <x v="0"/>
    <s v="임대"/>
    <s v="손화나"/>
    <s v="항성"/>
    <s v="항성-86"/>
    <s v="주간"/>
    <s v="C/B"/>
    <x v="1"/>
    <s v="클라크"/>
    <s v="EPX25 CNF"/>
    <s v="EPX360-0709-9837CNF"/>
    <d v="2017-12-01T00:00:00"/>
    <n v="0"/>
    <m/>
    <s v="Y"/>
    <s v="케이엔엘"/>
    <d v="2017-12-01T00:00:00"/>
    <d v="2024-03-01T00:00:00"/>
    <n v="530000"/>
    <n v="23794000"/>
    <n v="9741984"/>
    <s v="R033"/>
  </r>
  <r>
    <s v="CFB25-0087"/>
    <x v="19"/>
    <s v="임대"/>
    <s v="이승희"/>
    <s v="진양"/>
    <s v="진양-87"/>
    <s v="주간"/>
    <s v="C/B"/>
    <x v="1"/>
    <s v="클라크"/>
    <s v="EPX25"/>
    <s v="EPX360-0706-9837CNF"/>
    <d v="2017-12-01T00:00:00"/>
    <n v="0"/>
    <m/>
    <s v="N"/>
    <s v="케이엔엘"/>
    <d v="2017-12-01T00:00:00"/>
    <d v="2025-01-09T00:00:00"/>
    <n v="700000"/>
    <n v="20500000"/>
    <n v="4200627"/>
    <s v="R021"/>
  </r>
  <r>
    <s v="CFB25-0088"/>
    <x v="20"/>
    <s v="임대"/>
    <s v="손화나"/>
    <s v="오페1공장"/>
    <s v="오페-88"/>
    <s v="주간"/>
    <s v="C/B"/>
    <x v="1"/>
    <s v="클라크"/>
    <s v="EPX25"/>
    <s v="EPX360-0708-9837CNF"/>
    <d v="2017-12-01T00:00:00"/>
    <n v="0"/>
    <m/>
    <s v="N"/>
    <s v="케이엔엘"/>
    <d v="2017-12-01T00:00:00"/>
    <d v="2024-06-01T00:00:00"/>
    <n v="530000"/>
    <n v="20600000"/>
    <n v="3766177"/>
    <s v="R036"/>
  </r>
  <r>
    <s v="CFB30-0089"/>
    <x v="20"/>
    <s v="임대"/>
    <s v="손화나"/>
    <s v="오페"/>
    <s v="오페-89"/>
    <s v="주간"/>
    <s v="C/B"/>
    <x v="0"/>
    <s v="클라크"/>
    <s v="EPX30"/>
    <s v="EPX360-0694-9837CNF"/>
    <d v="2017-12-01T00:00:00"/>
    <n v="0"/>
    <m/>
    <s v="N"/>
    <s v="케이엔엘"/>
    <d v="2017-12-01T00:00:00"/>
    <d v="2024-07-01T00:00:00"/>
    <n v="550000"/>
    <n v="23500000"/>
    <n v="12201117"/>
    <s v="R036"/>
  </r>
  <r>
    <s v="CFB30-0090"/>
    <x v="21"/>
    <s v="임대"/>
    <s v="이승희"/>
    <s v="기계-2공장"/>
    <s v="이래CS-90"/>
    <s v="주간"/>
    <s v="C/B"/>
    <x v="0"/>
    <s v="클라크"/>
    <s v="EPX30"/>
    <s v="EPX360-0617-9837CNF"/>
    <d v="2017-12-01T00:00:00"/>
    <n v="0"/>
    <m/>
    <s v="N"/>
    <s v="케이엔엘"/>
    <d v="2017-12-01T00:00:00"/>
    <d v="2017-12-01T00:00:00"/>
    <n v="650000"/>
    <n v="25000000"/>
    <n v="2296687"/>
    <s v="R013"/>
  </r>
  <r>
    <s v="CFB18-0091"/>
    <x v="21"/>
    <s v="임대"/>
    <s v="이승희"/>
    <s v="현장-1공장"/>
    <s v="이래CS-91"/>
    <s v="주간"/>
    <s v="C/B"/>
    <x v="3"/>
    <s v="클라크"/>
    <s v="GEX18S"/>
    <s v="GEX162-2758-9675KF"/>
    <d v="2017-12-01T00:00:00"/>
    <n v="0"/>
    <m/>
    <s v="N"/>
    <s v="케이엔엘"/>
    <d v="2017-12-01T00:00:00"/>
    <d v="2023-03-01T00:00:00"/>
    <n v="650000"/>
    <n v="21600000"/>
    <n v="4530257"/>
    <s v="R013"/>
  </r>
  <r>
    <s v="CFB25-0092"/>
    <x v="22"/>
    <s v="임대"/>
    <s v="고민서"/>
    <s v="대한테크놀로지"/>
    <s v="대한테크-92"/>
    <s v="주간"/>
    <s v="C/B"/>
    <x v="1"/>
    <s v="클라크"/>
    <s v="EPX25"/>
    <s v="EPX360 0707 9837CNF"/>
    <d v="2017-12-01T00:00:00"/>
    <n v="0"/>
    <m/>
    <s v="N"/>
    <s v="케이엔엘"/>
    <d v="2017-12-01T00:00:00"/>
    <d v="2025-04-04T00:00:00"/>
    <n v="803750"/>
    <n v="20500000"/>
    <n v="3335087"/>
    <s v="R049"/>
  </r>
  <r>
    <s v="CFB30-0093"/>
    <x v="21"/>
    <s v="임대"/>
    <s v="이승희"/>
    <s v="기계-1공장"/>
    <s v="이래CS-93"/>
    <s v="주간"/>
    <s v="C/B"/>
    <x v="0"/>
    <s v="클라크"/>
    <s v="EPX30"/>
    <s v="EPX360 0582 9837CNF"/>
    <d v="2017-12-01T00:00:00"/>
    <n v="0"/>
    <m/>
    <s v="N"/>
    <s v="케이엔엘"/>
    <d v="2017-12-01T00:00:00"/>
    <d v="2017-12-01T00:00:00"/>
    <n v="650000"/>
    <n v="25000000"/>
    <n v="6503017"/>
    <s v="R013"/>
  </r>
  <r>
    <s v="ELB00-0094"/>
    <x v="23"/>
    <s v="임대"/>
    <s v="김상은"/>
    <s v="검사"/>
    <s v="엠코-94"/>
    <s v="주간"/>
    <s v="리프트"/>
    <x v="10"/>
    <s v="."/>
    <m/>
    <m/>
    <d v="2019-01-01T00:00:00"/>
    <n v="0"/>
    <m/>
    <s v="N"/>
    <s v="청운로지스"/>
    <d v="2019-01-01T00:00:00"/>
    <d v="2019-01-01T00:00:00"/>
    <n v="130000"/>
    <n v="3000000"/>
    <m/>
    <s v="R016"/>
  </r>
  <r>
    <s v="ELB00-0095"/>
    <x v="23"/>
    <s v="임대"/>
    <s v="김상은"/>
    <s v="검사"/>
    <s v="엠코-95"/>
    <s v="주간"/>
    <s v="리프트"/>
    <x v="10"/>
    <s v="."/>
    <m/>
    <m/>
    <d v="2019-01-01T00:00:00"/>
    <n v="0"/>
    <m/>
    <s v="N"/>
    <s v="청운로지스"/>
    <d v="2019-01-01T00:00:00"/>
    <d v="2019-01-01T00:00:00"/>
    <n v="130000"/>
    <n v="3000000"/>
    <n v="375000"/>
    <s v="R016"/>
  </r>
  <r>
    <s v="ELB00-0096"/>
    <x v="23"/>
    <s v="임대"/>
    <s v="김상은"/>
    <s v="검사"/>
    <s v="엠코-96"/>
    <s v="주간"/>
    <s v="리프트"/>
    <x v="10"/>
    <s v="."/>
    <m/>
    <m/>
    <d v="2019-01-01T00:00:00"/>
    <n v="0"/>
    <m/>
    <s v="N"/>
    <s v="청운로지스"/>
    <d v="2019-01-01T00:00:00"/>
    <d v="2019-01-01T00:00:00"/>
    <n v="130000"/>
    <n v="3000000"/>
    <m/>
    <s v="R016"/>
  </r>
  <r>
    <s v="DFB25-0097"/>
    <x v="24"/>
    <s v="임대"/>
    <s v="김상은"/>
    <s v="SMD"/>
    <s v="BAT-97"/>
    <s v="주간"/>
    <s v="C/B"/>
    <x v="1"/>
    <s v="두산"/>
    <s v="B25SE-7"/>
    <s v="FBA36-1910-02417"/>
    <d v="2022-09-15T00:00:00"/>
    <n v="0"/>
    <m/>
    <s v="Y"/>
    <s v="케이엔엘"/>
    <d v="2022-09-15T00:00:00"/>
    <d v="2022-09-15T00:00:00"/>
    <n v="700000"/>
    <n v="32760000"/>
    <n v="186130"/>
    <s v="R017"/>
  </r>
  <r>
    <s v="DFO30-0098"/>
    <x v="25"/>
    <s v="임대"/>
    <s v="정도겸"/>
    <s v="세아에샵"/>
    <s v="에샵-98"/>
    <s v="주간"/>
    <s v="C/B"/>
    <x v="0"/>
    <s v="두산"/>
    <s v="D30SE-5"/>
    <s v="FDA06-1850-17616"/>
    <d v="2014-04-01T00:00:00"/>
    <n v="0"/>
    <s v="경남04노6359"/>
    <s v="Y"/>
    <s v="케이엔엘"/>
    <d v="2021-12-01T00:00:00"/>
    <d v="2023-07-25T00:00:00"/>
    <n v="850000"/>
    <n v="33200000"/>
    <n v="7073820"/>
    <s v="R023"/>
  </r>
  <r>
    <s v="CFB30-0099"/>
    <x v="26"/>
    <s v="임대"/>
    <s v="손화나"/>
    <s v="극동티앤에프"/>
    <s v="극동-99"/>
    <s v="주간"/>
    <s v="C/B"/>
    <x v="0"/>
    <s v="클라크"/>
    <s v="GEX30"/>
    <s v="GEX 230-1210-9655 KF"/>
    <d v="2011-11-01T00:00:00"/>
    <n v="0"/>
    <m/>
    <s v="Y"/>
    <s v="케이엔엘"/>
    <d v="2022-04-01T00:00:00"/>
    <d v="2024-12-26T00:00:00"/>
    <n v="600000"/>
    <n v="39100000"/>
    <n v="40818483"/>
    <s v="R045"/>
  </r>
  <r>
    <s v="CFB25-0100"/>
    <x v="27"/>
    <s v="임대"/>
    <s v="고민서"/>
    <s v="플라스틱옴니엄"/>
    <s v="옴니엄-100"/>
    <s v="주간"/>
    <s v="C/B"/>
    <x v="1"/>
    <s v="클라크"/>
    <s v="EPX25"/>
    <s v="EPX360-6510-9652"/>
    <d v="2020-09-01T00:00:00"/>
    <n v="8200"/>
    <m/>
    <s v="N"/>
    <s v="케이엔엘"/>
    <d v="2022-04-01T00:00:00"/>
    <d v="2024-10-14T00:00:00"/>
    <n v="1090000"/>
    <n v="16000000"/>
    <n v="4147310"/>
    <s v="R037"/>
  </r>
  <r>
    <s v="EFB25-0101"/>
    <x v="4"/>
    <s v="임대"/>
    <s v="김종근"/>
    <s v="엘소창원공장"/>
    <s v="예비-101"/>
    <s v="주간"/>
    <s v="C/B"/>
    <x v="1"/>
    <s v="중국"/>
    <m/>
    <s v="25J-15075354"/>
    <d v="1999-01-01T00:00:00"/>
    <n v="0"/>
    <m/>
    <s v="N"/>
    <s v="케이엔엘"/>
    <d v="2018-01-01T00:00:00"/>
    <d v="2024-11-01T00:00:00"/>
    <n v="0"/>
    <n v="2000000"/>
    <n v="100"/>
    <s v="R031"/>
  </r>
  <r>
    <s v="ERB15-0102"/>
    <x v="6"/>
    <s v="임대"/>
    <s v="손화나"/>
    <s v="베스텍"/>
    <s v="베스텍-102"/>
    <s v="주간"/>
    <s v="입식"/>
    <x v="5"/>
    <s v="KOMATSU"/>
    <m/>
    <s v="FB15RS-12-93341 V3"/>
    <d v="2005-01-01T00:00:00"/>
    <n v="0"/>
    <m/>
    <s v="N"/>
    <s v="케이엔엘"/>
    <d v="2018-09-01T00:00:00"/>
    <d v="2024-11-01T00:00:00"/>
    <n v="400000"/>
    <n v="6200000"/>
    <n v="5975990"/>
    <s v="R008"/>
  </r>
  <r>
    <s v="DRB18-0103"/>
    <x v="28"/>
    <s v="임대"/>
    <s v="이승희"/>
    <s v="창원공장"/>
    <s v="엘소-103"/>
    <s v="주간"/>
    <s v="입식"/>
    <x v="3"/>
    <s v="두산"/>
    <s v="BR18S-7"/>
    <s v="FRA03-1370-00580"/>
    <d v="2013-01-01T00:00:00"/>
    <n v="0"/>
    <m/>
    <s v="N"/>
    <s v="케이엔엘"/>
    <d v="2021-01-01T00:00:00"/>
    <d v="2021-01-01T00:00:00"/>
    <n v="750000"/>
    <n v="8000000"/>
    <n v="4015090"/>
    <s v="R019"/>
  </r>
  <r>
    <s v="DFO33-0104"/>
    <x v="5"/>
    <s v="임대"/>
    <s v="이승희"/>
    <s v="디와이파워"/>
    <s v="1Y-1"/>
    <s v="주간"/>
    <s v="C/B"/>
    <x v="11"/>
    <s v="두산"/>
    <s v="D33S-3"/>
    <s v="D33S3-0119"/>
    <d v="2006-03-01T00:00:00"/>
    <n v="0"/>
    <s v="경남04고7097"/>
    <s v="Y"/>
    <s v="케이엔엘"/>
    <d v="2023-07-01T00:00:00"/>
    <d v="2023-07-01T00:00:00"/>
    <n v="650000"/>
    <n v="6000000"/>
    <n v="14723390"/>
    <s v="R018"/>
  </r>
  <r>
    <s v="DFO35-0105"/>
    <x v="5"/>
    <s v="임대"/>
    <s v="이승희"/>
    <s v="디와이파워"/>
    <s v="2Y-5"/>
    <s v="주간"/>
    <s v="C/B"/>
    <x v="12"/>
    <s v="두산"/>
    <s v="D35S-5"/>
    <s v="FDB01-1240-01871"/>
    <d v="2011-10-01T00:00:00"/>
    <n v="0"/>
    <s v="04노5177"/>
    <s v="Y"/>
    <s v="케이엔엘"/>
    <d v="2023-07-01T00:00:00"/>
    <d v="2023-07-01T00:00:00"/>
    <n v="650000"/>
    <n v="16500000"/>
    <n v="6413880"/>
    <s v="R018"/>
  </r>
  <r>
    <s v="DFO25-0106"/>
    <x v="4"/>
    <s v="임대"/>
    <s v="김종근"/>
    <s v="엘소창원공장"/>
    <s v="예비-106"/>
    <s v="주간"/>
    <s v="C/B"/>
    <x v="1"/>
    <s v="두산"/>
    <s v="D25S-3"/>
    <s v="D25S3-1495"/>
    <d v="2002-01-01T00:00:00"/>
    <n v="0"/>
    <s v="경남04노 8773"/>
    <s v="N"/>
    <s v="케이엔엘"/>
    <d v="2020-01-01T00:00:00"/>
    <d v="2024-06-01T00:00:00"/>
    <n v="0"/>
    <n v="5000000"/>
    <n v="4437000"/>
    <s v="R031"/>
  </r>
  <r>
    <s v="DFO30-0107"/>
    <x v="25"/>
    <s v="임대"/>
    <s v="정도겸"/>
    <s v="세아에샵"/>
    <s v="에샵-107"/>
    <s v="주간"/>
    <s v="C/B"/>
    <x v="0"/>
    <s v="두산"/>
    <s v="D30SE-7"/>
    <s v="FDA0R-2340-05062"/>
    <d v="2017-12-01T00:00:00"/>
    <n v="0"/>
    <s v="경남04노8493"/>
    <s v="Y"/>
    <s v="케이엔엘"/>
    <d v="2022-10-01T00:00:00"/>
    <d v="2022-11-01T00:00:00"/>
    <n v="850000"/>
    <n v="2000000"/>
    <n v="3096470"/>
    <s v="R023"/>
  </r>
  <r>
    <s v="CFO25-0108"/>
    <x v="5"/>
    <s v="임대"/>
    <s v="이승희"/>
    <s v="디와이파워"/>
    <s v="2Y-2"/>
    <s v="주간"/>
    <s v="C/B"/>
    <x v="1"/>
    <s v="클라크"/>
    <s v="GTS25D"/>
    <s v="GTS232D-0419-9667KF"/>
    <d v="2008-01-01T00:00:00"/>
    <n v="0"/>
    <s v="경남04고7625"/>
    <s v="Y"/>
    <s v="케이엔엘"/>
    <d v="2023-07-01T00:00:00"/>
    <d v="2023-07-01T00:00:00"/>
    <n v="600000"/>
    <n v="6000000"/>
    <n v="14267510"/>
    <s v="R018"/>
  </r>
  <r>
    <s v="ECB00-0110"/>
    <x v="29"/>
    <s v="임대"/>
    <s v="이승희"/>
    <s v="우림1공장"/>
    <s v="우림-110"/>
    <s v="주간"/>
    <s v="좌식"/>
    <x v="10"/>
    <s v="TASKI"/>
    <s v="swingo 4000"/>
    <m/>
    <d v="2022-01-01T00:00:00"/>
    <n v="0"/>
    <m/>
    <s v="N"/>
    <s v="엘소"/>
    <d v="2022-04-01T00:00:00"/>
    <d v="2022-10-01T00:00:00"/>
    <n v="1050000"/>
    <n v="17600000"/>
    <m/>
    <s v="R020"/>
  </r>
  <r>
    <s v="ECB00-0111"/>
    <x v="29"/>
    <s v="임대"/>
    <s v="이승희"/>
    <s v="우림2공장"/>
    <s v="우림-111"/>
    <s v="주간"/>
    <s v="좌식"/>
    <x v="10"/>
    <s v="TASKI"/>
    <s v="swingo 4000"/>
    <m/>
    <d v="2021-01-01T00:00:00"/>
    <n v="0"/>
    <m/>
    <s v="N"/>
    <s v="엘소"/>
    <d v="2021-04-01T00:00:00"/>
    <d v="2022-10-01T00:00:00"/>
    <n v="1000000"/>
    <n v="16500000"/>
    <n v="1595000"/>
    <s v="R020"/>
  </r>
  <r>
    <s v="DFO45-0112"/>
    <x v="5"/>
    <s v="임대"/>
    <s v="이승희"/>
    <s v="디와이파워"/>
    <s v="1Y-3"/>
    <s v="주간"/>
    <s v="C/B"/>
    <x v="13"/>
    <s v="두산"/>
    <s v="D45S-3"/>
    <s v="FDB03-1240-02970"/>
    <d v="2011-10-01T00:00:00"/>
    <n v="0"/>
    <s v="경남04노5192"/>
    <s v="Y"/>
    <s v="케이엔엘"/>
    <d v="2023-07-01T00:00:00"/>
    <d v="2023-07-01T00:00:00"/>
    <n v="750000"/>
    <n v="39490000"/>
    <n v="74251681"/>
    <s v="R018"/>
  </r>
  <r>
    <s v="DFO30-0113"/>
    <x v="11"/>
    <s v="임대"/>
    <s v="이승희"/>
    <s v="대신 창원공장"/>
    <s v="대신-창원-113"/>
    <s v="주간"/>
    <s v="C/B"/>
    <x v="0"/>
    <s v="두산"/>
    <s v="D30S-5"/>
    <s v="FDA06-1000-11561"/>
    <d v="2011-10-01T00:00:00"/>
    <n v="0"/>
    <s v="경남04노5191"/>
    <s v="N"/>
    <s v="엘소"/>
    <d v="2011-11-01T00:00:00"/>
    <d v="2023-07-02T00:00:00"/>
    <n v="700000"/>
    <n v="28280000"/>
    <n v="46556170"/>
    <s v="R006"/>
  </r>
  <r>
    <s v="CFO33-0114"/>
    <x v="30"/>
    <s v="임대"/>
    <s v="이상용"/>
    <s v="1MU설비보존"/>
    <s v="셰플러-114"/>
    <s v="주간"/>
    <s v="C/B"/>
    <x v="11"/>
    <s v="클라크"/>
    <s v="GTS30DS"/>
    <s v="GTS232D 0727 9963KF"/>
    <d v="2016-07-01T00:00:00"/>
    <n v="0"/>
    <s v="경남04노7470"/>
    <s v="Y"/>
    <s v="엘소"/>
    <d v="2016-07-01T00:00:00"/>
    <d v="2022-10-01T00:00:00"/>
    <n v="768000"/>
    <n v="39100000"/>
    <n v="13230781"/>
    <s v="R014"/>
  </r>
  <r>
    <s v="CFB20-0115"/>
    <x v="28"/>
    <s v="임대"/>
    <s v="이승희"/>
    <s v="엘소창원공장"/>
    <s v="엘소-115"/>
    <s v="주간"/>
    <s v="C/B"/>
    <x v="2"/>
    <s v="클라크"/>
    <s v="EPX20"/>
    <s v="EPX 360-4666-9652 KF"/>
    <d v="2011-10-01T00:00:00"/>
    <n v="0"/>
    <m/>
    <s v="N"/>
    <s v="엘소"/>
    <d v="2011-10-01T00:00:00"/>
    <d v="2024-11-01T00:00:00"/>
    <n v="700000"/>
    <n v="24600000"/>
    <n v="6745080"/>
    <s v="R019"/>
  </r>
  <r>
    <s v="CFB20-0116"/>
    <x v="30"/>
    <s v="임대"/>
    <s v="이상용"/>
    <s v="1MU B/B열처리"/>
    <s v="셰플러-116"/>
    <s v="주간"/>
    <s v="C/B"/>
    <x v="2"/>
    <s v="클라크"/>
    <s v="EPX20SFL"/>
    <s v="EPX162-2121-9958KF"/>
    <d v="2019-07-01T00:00:00"/>
    <n v="0"/>
    <m/>
    <s v="Y"/>
    <s v="엘소"/>
    <d v="2019-07-01T00:00:00"/>
    <d v="2022-10-01T00:00:00"/>
    <n v="700000"/>
    <n v="29815000"/>
    <n v="7251433"/>
    <s v="R014"/>
  </r>
  <r>
    <s v="CFB20-0117"/>
    <x v="30"/>
    <s v="임대"/>
    <s v="이상용"/>
    <s v="1MU B/B열처리G1"/>
    <s v="셰플러-117"/>
    <s v="주간"/>
    <s v="C/B"/>
    <x v="2"/>
    <s v="클라크"/>
    <s v="EPX20"/>
    <s v="EPX 360-4670-9652 KF"/>
    <d v="2011-10-01T00:00:00"/>
    <n v="0"/>
    <m/>
    <s v="Y"/>
    <s v="엘소"/>
    <d v="2011-10-01T00:00:00"/>
    <d v="2022-10-01T00:00:00"/>
    <n v="487000"/>
    <n v="24600000"/>
    <n v="20821693"/>
    <s v="R014"/>
  </r>
  <r>
    <s v="DFB18-0118"/>
    <x v="30"/>
    <s v="임대"/>
    <s v="이상용"/>
    <s v="셰플러1공장 T/B 신설"/>
    <s v="셰플러-118"/>
    <s v="2교대"/>
    <s v="C/B"/>
    <x v="3"/>
    <s v="두산"/>
    <s v="B18S-5"/>
    <s v="FBAOC-1380-00264"/>
    <d v="2011-10-01T00:00:00"/>
    <n v="0"/>
    <m/>
    <s v="Y"/>
    <s v="엘소"/>
    <d v="2011-10-01T00:00:00"/>
    <d v="2024-03-01T00:00:00"/>
    <n v="700000"/>
    <n v="25160000"/>
    <n v="28764950"/>
    <s v="R014"/>
  </r>
  <r>
    <s v="DFB18-0119"/>
    <x v="30"/>
    <s v="임대"/>
    <s v="이상용"/>
    <s v="1MU T/B열처리(신설)"/>
    <s v="셰플러-119"/>
    <s v="주간"/>
    <s v="C/B"/>
    <x v="3"/>
    <s v="두산"/>
    <s v="B18S-5"/>
    <s v="FBAOC-1380-00263"/>
    <d v="2011-10-01T00:00:00"/>
    <n v="0"/>
    <m/>
    <s v="Y"/>
    <s v="엘소"/>
    <d v="2011-10-01T00:00:00"/>
    <d v="2022-10-01T00:00:00"/>
    <n v="487000"/>
    <n v="25160000"/>
    <n v="29180140"/>
    <s v="R014"/>
  </r>
  <r>
    <s v="DFB18-0120"/>
    <x v="4"/>
    <s v="임대"/>
    <s v="김종근"/>
    <s v="엘소창원공장"/>
    <s v="예비-120"/>
    <s v="주간"/>
    <s v="C/B"/>
    <x v="3"/>
    <s v="두산"/>
    <s v="B18S-5"/>
    <s v="FBAOC-1380-00262"/>
    <d v="2011-10-01T00:00:00"/>
    <n v="0"/>
    <m/>
    <s v="Y"/>
    <s v="엘소"/>
    <d v="2011-10-01T00:00:00"/>
    <d v="2024-06-01T00:00:00"/>
    <n v="0"/>
    <n v="23650000"/>
    <n v="32709540"/>
    <s v="R031"/>
  </r>
  <r>
    <s v="CFB20-0121"/>
    <x v="30"/>
    <s v="임대"/>
    <s v="이상용"/>
    <s v="1MU T/B , B/B G1"/>
    <s v="셰플러-121"/>
    <s v="주간"/>
    <s v="C/B"/>
    <x v="2"/>
    <s v="클라크"/>
    <s v="EPX20SFL"/>
    <s v="EPX162-2122-9958KF"/>
    <d v="2019-07-01T00:00:00"/>
    <n v="0"/>
    <m/>
    <s v="Y"/>
    <s v="엘소"/>
    <d v="2019-07-01T00:00:00"/>
    <d v="2022-10-01T00:00:00"/>
    <n v="700000"/>
    <n v="28815000"/>
    <n v="7701760"/>
    <s v="R014"/>
  </r>
  <r>
    <s v="CFB20-0122"/>
    <x v="8"/>
    <s v="임대"/>
    <s v="손화나"/>
    <s v="세척반"/>
    <s v="대동기어-122"/>
    <s v="주간"/>
    <s v="C/B"/>
    <x v="2"/>
    <s v="클라크"/>
    <s v="EPX20"/>
    <s v="EPX 360-4667-9652 KF"/>
    <d v="2011-10-01T00:00:00"/>
    <n v="0"/>
    <m/>
    <s v="Y"/>
    <s v="엘소"/>
    <d v="2011-10-01T00:00:00"/>
    <d v="2025-04-01T00:00:00"/>
    <n v="592000"/>
    <n v="24600000"/>
    <n v="15343473"/>
    <s v="R046"/>
  </r>
  <r>
    <s v="CRB20-0123"/>
    <x v="30"/>
    <s v="임대"/>
    <s v="이상용"/>
    <s v="1MU B/B조립(자동) "/>
    <s v="셰플러-123"/>
    <s v="주간"/>
    <s v="입식"/>
    <x v="2"/>
    <s v="클라크"/>
    <m/>
    <s v="CRX205-2252-9559KF"/>
    <d v="2013-12-01T00:00:00"/>
    <n v="0"/>
    <m/>
    <s v="Y"/>
    <s v="엘소"/>
    <d v="2013-12-01T00:00:00"/>
    <d v="2022-10-01T00:00:00"/>
    <n v="505000"/>
    <n v="25000000"/>
    <n v="8033090"/>
    <s v="R014"/>
  </r>
  <r>
    <s v="EFB15-0124"/>
    <x v="30"/>
    <s v="임대"/>
    <s v="이상용"/>
    <s v="1MU T/B조립(증설)"/>
    <s v="셰플러-124"/>
    <s v="주간"/>
    <s v="핸드"/>
    <x v="5"/>
    <s v="T.M.C L&amp;F"/>
    <s v="TR15R"/>
    <s v="TR15R-2103131"/>
    <d v="2021-03-01T00:00:00"/>
    <n v="0"/>
    <m/>
    <s v="N"/>
    <s v="엘소"/>
    <d v="2021-03-01T00:00:00"/>
    <d v="2022-10-01T00:00:00"/>
    <n v="492000"/>
    <n v="13000000"/>
    <n v="1945000"/>
    <s v="R014"/>
  </r>
  <r>
    <s v="EFB13-0125"/>
    <x v="30"/>
    <s v="임대"/>
    <s v="이상용"/>
    <s v="1MU T/B 연삭"/>
    <s v="셰플러-125"/>
    <s v="주간"/>
    <s v="핸드"/>
    <x v="15"/>
    <s v="T.M.C L&amp;F"/>
    <s v="TR13X"/>
    <s v="TR13X-405047"/>
    <d v="2014-05-01T00:00:00"/>
    <n v="0"/>
    <m/>
    <s v="N"/>
    <s v="엘소"/>
    <d v="2014-05-01T00:00:00"/>
    <d v="2022-10-01T00:00:00"/>
    <n v="487000"/>
    <n v="13000000"/>
    <n v="4582200"/>
    <s v="R014"/>
  </r>
  <r>
    <s v="EFB15-0126"/>
    <x v="4"/>
    <s v="임대"/>
    <s v="김종근"/>
    <s v="엘소창원공장"/>
    <s v="예비-126"/>
    <s v="주간"/>
    <s v="핸드"/>
    <x v="5"/>
    <s v="게이트"/>
    <s v="GR15"/>
    <s v="GR15-1805016"/>
    <d v="2018-05-01T00:00:00"/>
    <n v="0"/>
    <m/>
    <s v="N"/>
    <s v="케이엔엘"/>
    <d v="2018-05-01T00:00:00"/>
    <d v="2024-06-01T00:00:00"/>
    <n v="0"/>
    <n v="13000000"/>
    <n v="6958520"/>
    <s v="R031"/>
  </r>
  <r>
    <s v="EFB15-0127"/>
    <x v="5"/>
    <s v="임대"/>
    <s v="이승희"/>
    <s v="디와이파워"/>
    <s v="5B-7"/>
    <s v="주간"/>
    <s v="핸드"/>
    <x v="5"/>
    <s v="게이트"/>
    <s v="GR15"/>
    <s v="GR15-1805017"/>
    <d v="2018-05-01T00:00:00"/>
    <n v="0"/>
    <m/>
    <s v="N"/>
    <s v="케이엔엘"/>
    <d v="2023-07-01T00:00:00"/>
    <d v="2023-07-01T00:00:00"/>
    <n v="400000"/>
    <n v="13000000"/>
    <n v="7405600"/>
    <s v="R018"/>
  </r>
  <r>
    <s v="CFB18-0128"/>
    <x v="30"/>
    <s v="임대"/>
    <s v="이상용"/>
    <s v="1MU T/B G1"/>
    <s v="셰플러-128"/>
    <s v="주간"/>
    <s v="C/B"/>
    <x v="3"/>
    <s v="클라크"/>
    <s v="EPX18"/>
    <s v="EPX162-2177-9818KF"/>
    <d v="2014-09-01T00:00:00"/>
    <n v="0"/>
    <m/>
    <s v="Y"/>
    <s v="엘소"/>
    <d v="2014-09-22T00:00:00"/>
    <d v="2022-10-01T00:00:00"/>
    <n v="604000"/>
    <n v="29800000"/>
    <n v="19116258"/>
    <s v="R014"/>
  </r>
  <r>
    <s v="DFB18-0129"/>
    <x v="30"/>
    <s v="임대"/>
    <s v="이상용"/>
    <s v="1MU T/B G1"/>
    <s v="셰플러-129"/>
    <s v="주간"/>
    <s v="C/B"/>
    <x v="3"/>
    <s v="두산"/>
    <s v="B18S-5"/>
    <s v="FBAOC-1380-00265"/>
    <d v="2011-10-01T00:00:00"/>
    <n v="0"/>
    <m/>
    <s v="Y"/>
    <s v="엘소"/>
    <d v="2011-10-01T00:00:00"/>
    <d v="2022-10-01T00:00:00"/>
    <n v="487000"/>
    <n v="23650000"/>
    <n v="17044132"/>
    <s v="R014"/>
  </r>
  <r>
    <s v="CFB20-0130"/>
    <x v="8"/>
    <s v="임대"/>
    <s v="손화나"/>
    <s v="열처리반"/>
    <s v="대동기어-130"/>
    <s v="주간"/>
    <s v="C/B"/>
    <x v="2"/>
    <s v="클라크"/>
    <s v="EPX20"/>
    <s v="EPX 360-4668-9652 KF"/>
    <d v="2011-10-01T00:00:00"/>
    <n v="0"/>
    <m/>
    <s v="Y"/>
    <s v="엘소"/>
    <d v="2011-10-01T00:00:00"/>
    <d v="2025-04-01T00:00:00"/>
    <n v="592000"/>
    <n v="24600000"/>
    <n v="14839553"/>
    <s v="R046"/>
  </r>
  <r>
    <s v="CFB30-0131"/>
    <x v="31"/>
    <s v="임대"/>
    <s v="이승희"/>
    <s v="신아테크"/>
    <s v="신아-131"/>
    <s v="주간"/>
    <s v="C/B"/>
    <x v="0"/>
    <s v="클라크"/>
    <s v="GEX30"/>
    <s v="GEX 230-1216-9655 KF"/>
    <d v="2011-10-01T00:00:00"/>
    <n v="0"/>
    <m/>
    <s v="Y"/>
    <s v="엘소"/>
    <d v="2011-10-01T00:00:00"/>
    <d v="2025-03-01T00:00:00"/>
    <n v="600000"/>
    <n v="37436000"/>
    <n v="16045223"/>
    <s v="R039"/>
  </r>
  <r>
    <s v="DRB20-0132"/>
    <x v="30"/>
    <s v="임대"/>
    <s v="이상용"/>
    <s v="1MU B/B조립(자동)"/>
    <s v="셰플러-132"/>
    <s v="주간"/>
    <s v="입식"/>
    <x v="2"/>
    <s v="두산"/>
    <s v="BR20S-7"/>
    <s v="FRA09-1370-00353"/>
    <d v="2011-10-01T00:00:00"/>
    <n v="0"/>
    <m/>
    <s v="Y"/>
    <s v="엘소"/>
    <d v="2011-10-01T00:00:00"/>
    <d v="2022-10-01T00:00:00"/>
    <n v="487000"/>
    <n v="21690000"/>
    <n v="10737383"/>
    <s v="R014"/>
  </r>
  <r>
    <s v="DFB25-0133"/>
    <x v="31"/>
    <s v="임대"/>
    <s v="이승희"/>
    <s v="디와이파워_신아"/>
    <s v="신아-133"/>
    <s v="주간"/>
    <s v="C/B"/>
    <x v="1"/>
    <s v="두산"/>
    <s v="B25S-5"/>
    <s v="FBA08-1380-02356"/>
    <d v="2011-10-01T00:00:00"/>
    <n v="0"/>
    <m/>
    <s v="Y"/>
    <s v="엘소"/>
    <d v="2011-10-01T00:00:00"/>
    <d v="2024-07-01T00:00:00"/>
    <n v="580000"/>
    <n v="26910000"/>
    <n v="5602750"/>
    <s v="R039"/>
  </r>
  <r>
    <s v="DFO40-0134"/>
    <x v="30"/>
    <s v="임대"/>
    <s v="이상용"/>
    <s v="3MU생산계획팀"/>
    <s v="셰플러-134"/>
    <s v="주간"/>
    <s v="C/B"/>
    <x v="4"/>
    <s v="두산"/>
    <s v="D40S-5"/>
    <s v="FDB02-1240-01157"/>
    <d v="2011-10-01T00:00:00"/>
    <n v="0"/>
    <s v="경남04노5195"/>
    <s v="Y"/>
    <s v="엘소"/>
    <d v="2011-11-10T00:00:00"/>
    <d v="2022-10-01T00:00:00"/>
    <n v="671000"/>
    <n v="38850000"/>
    <n v="29352519"/>
    <s v="R014"/>
  </r>
  <r>
    <s v="DFO45-0135"/>
    <x v="30"/>
    <s v="임대"/>
    <s v="이상용"/>
    <s v="3MU생산계획팀"/>
    <s v="셰플러-135"/>
    <s v="주간"/>
    <s v="C/B"/>
    <x v="13"/>
    <s v="두산"/>
    <s v="D45S-5"/>
    <s v="FDB03-1240-02969"/>
    <d v="2011-10-01T00:00:00"/>
    <n v="0"/>
    <s v="경남04노5193"/>
    <s v="Y"/>
    <s v="엘소"/>
    <d v="2011-10-01T00:00:00"/>
    <d v="2022-10-01T00:00:00"/>
    <n v="671000"/>
    <n v="39490000"/>
    <n v="32934025"/>
    <s v="R014"/>
  </r>
  <r>
    <s v="DFO33-0136"/>
    <x v="30"/>
    <s v="임대"/>
    <s v="이상용"/>
    <s v="3MU열처리(소둔)"/>
    <s v="셰플러-136"/>
    <s v="주간"/>
    <s v="C/B"/>
    <x v="11"/>
    <s v="두산"/>
    <s v="D33SE-7"/>
    <s v="FDA0S-2340-02052"/>
    <d v="2011-10-01T00:00:00"/>
    <n v="0"/>
    <s v="경남04노8892"/>
    <s v="Y"/>
    <s v="엘소"/>
    <d v="2020-02-01T00:00:00"/>
    <d v="2022-10-01T00:00:00"/>
    <n v="817000"/>
    <n v="38950000"/>
    <n v="9615745"/>
    <s v="R014"/>
  </r>
  <r>
    <s v="DFO45-0137"/>
    <x v="30"/>
    <s v="임대"/>
    <s v="이상용"/>
    <s v="3MU열처리(소둔)"/>
    <s v="셰플러-137"/>
    <s v="주간"/>
    <s v="C/B"/>
    <x v="13"/>
    <s v="두산"/>
    <s v="D45SE-7"/>
    <s v="FDB12-1930-01186"/>
    <d v="2019-05-01T00:00:00"/>
    <n v="0"/>
    <s v="경남04노8564"/>
    <s v="Y"/>
    <s v="엘소"/>
    <d v="2019-05-01T00:00:00"/>
    <d v="2022-10-01T00:00:00"/>
    <n v="856000"/>
    <n v="55700000"/>
    <n v="10352345"/>
    <s v="R014"/>
  </r>
  <r>
    <s v="CFB30-0138"/>
    <x v="5"/>
    <s v="임대"/>
    <s v="이승희"/>
    <s v="디와이파워"/>
    <s v="2B-2"/>
    <s v="주간"/>
    <s v="C/B"/>
    <x v="0"/>
    <s v="클라크"/>
    <s v="GEX30"/>
    <s v="GEX 230-1212-9655 KF"/>
    <d v="2011-10-01T00:00:00"/>
    <n v="0"/>
    <m/>
    <s v="Y"/>
    <s v="케이엔엘"/>
    <d v="2023-07-01T00:00:00"/>
    <d v="2023-07-01T00:00:00"/>
    <n v="570000"/>
    <n v="13900000"/>
    <n v="57283898"/>
    <s v="R018"/>
  </r>
  <r>
    <s v="CFB30-0139"/>
    <x v="5"/>
    <s v="임대"/>
    <s v="이승희"/>
    <s v="디와이파워"/>
    <s v="2B-3"/>
    <s v="주간"/>
    <s v="C/B"/>
    <x v="0"/>
    <s v="클라크"/>
    <s v="GEX30"/>
    <s v="GEX 230-1213-9655 KF"/>
    <d v="2011-10-01T00:00:00"/>
    <n v="0"/>
    <m/>
    <s v="Y"/>
    <s v="케이엔엘"/>
    <d v="2023-07-01T00:00:00"/>
    <d v="2023-07-01T00:00:00"/>
    <n v="570000"/>
    <n v="31900000"/>
    <n v="51026383"/>
    <s v="R018"/>
  </r>
  <r>
    <s v="CFB30-0140"/>
    <x v="5"/>
    <s v="임대"/>
    <s v="이승희"/>
    <s v="디와이파워"/>
    <s v="3B-4"/>
    <s v="주간"/>
    <s v="C/B"/>
    <x v="0"/>
    <s v="클라크"/>
    <s v="GEX30"/>
    <s v="GEX 230-1217-9655 KF"/>
    <d v="2011-10-01T00:00:00"/>
    <n v="0"/>
    <m/>
    <s v="N"/>
    <s v="케이엔엘"/>
    <d v="2023-07-01T00:00:00"/>
    <d v="2023-07-01T00:00:00"/>
    <n v="570000"/>
    <n v="31900000"/>
    <n v="46320853"/>
    <s v="R018"/>
  </r>
  <r>
    <s v="CFB30-0141"/>
    <x v="5"/>
    <s v="임대"/>
    <s v="이승희"/>
    <s v="디와이파워-임대공장"/>
    <s v="2P-6"/>
    <s v="주간"/>
    <s v="C/B"/>
    <x v="0"/>
    <s v="클라크"/>
    <s v="GEX30"/>
    <s v="GEX 230-1218-9655 KF"/>
    <d v="2011-10-01T00:00:00"/>
    <n v="0"/>
    <m/>
    <s v="Y"/>
    <s v="케이엔엘"/>
    <d v="2023-07-01T00:00:00"/>
    <d v="2023-07-01T00:00:00"/>
    <n v="570000"/>
    <n v="3190000"/>
    <n v="65096883"/>
    <s v="R018"/>
  </r>
  <r>
    <s v="CFB30-0142"/>
    <x v="6"/>
    <s v="임대"/>
    <s v="손화나"/>
    <s v="베스텍"/>
    <s v="베스텍-142"/>
    <s v="주간"/>
    <s v="C/B"/>
    <x v="0"/>
    <s v="클라크"/>
    <s v="GEX30"/>
    <s v="GEX 230-1219-9655 KF"/>
    <d v="2011-10-01T00:00:00"/>
    <n v="11641"/>
    <m/>
    <s v="Y"/>
    <s v="케이엔엘"/>
    <d v="2023-07-01T00:00:00"/>
    <d v="2025-04-02T00:00:00"/>
    <n v="700000"/>
    <n v="39800000"/>
    <n v="49885423"/>
    <s v="R008"/>
  </r>
  <r>
    <s v="CFB25-0143"/>
    <x v="30"/>
    <s v="임대"/>
    <s v="이상용"/>
    <s v="2MUT/B선삭"/>
    <s v="셰플러-143"/>
    <s v="주간"/>
    <s v="C/B"/>
    <x v="1"/>
    <s v="클라크"/>
    <s v="EPX25FL"/>
    <s v="EPX360-0105-9959 KF"/>
    <d v="2015-04-01T00:00:00"/>
    <n v="0"/>
    <m/>
    <s v="Y"/>
    <s v="엘소"/>
    <d v="2015-04-01T00:00:00"/>
    <d v="2022-10-01T00:00:00"/>
    <n v="739000"/>
    <n v="30110000"/>
    <n v="1906500"/>
    <s v="R014"/>
  </r>
  <r>
    <s v="CFB25-0144"/>
    <x v="20"/>
    <s v="임대"/>
    <s v="손화나"/>
    <s v="오페1공장"/>
    <s v="오페-144"/>
    <s v="주간"/>
    <s v="C/B"/>
    <x v="1"/>
    <s v="클라크"/>
    <s v="EPX25FL"/>
    <s v="EPX360FL-3024-9959 KF"/>
    <d v="2019-04-01T00:00:00"/>
    <n v="0"/>
    <m/>
    <s v="Y"/>
    <s v="케이엔엘"/>
    <d v="2019-04-01T00:00:00"/>
    <d v="2024-06-01T00:00:00"/>
    <n v="530000"/>
    <n v="33400000"/>
    <n v="4999380"/>
    <s v="R036"/>
  </r>
  <r>
    <s v="DFO45-0145"/>
    <x v="30"/>
    <s v="임대"/>
    <s v="이상용"/>
    <s v="3MU 생산계획팀"/>
    <s v="셰플러-145"/>
    <s v="주간"/>
    <s v="C/B"/>
    <x v="13"/>
    <s v="두산"/>
    <s v="D45S-2"/>
    <s v="D45S-201704"/>
    <d v="2005-04-01T00:00:00"/>
    <n v="0"/>
    <s v="경남04도5402"/>
    <s v="Y"/>
    <s v="엘소"/>
    <d v="2021-09-01T00:00:00"/>
    <d v="2022-10-01T00:00:00"/>
    <n v="759000"/>
    <n v="3000000"/>
    <n v="7432695"/>
    <s v="R014"/>
  </r>
  <r>
    <s v="DFO45-0146"/>
    <x v="30"/>
    <s v="임대"/>
    <s v="이상용"/>
    <s v="3MU생산계획팀"/>
    <s v="셰플러-146"/>
    <s v="주간"/>
    <s v="C/B"/>
    <x v="13"/>
    <s v="두산"/>
    <s v="D45SE-7"/>
    <s v="FDB12-1930-00021"/>
    <d v="2017-09-01T00:00:00"/>
    <n v="0"/>
    <s v="경남04노7896"/>
    <s v="Y"/>
    <s v="엘소"/>
    <d v="2019-04-01T00:00:00"/>
    <d v="2022-10-01T00:00:00"/>
    <n v="671000"/>
    <n v="26322530"/>
    <n v="15763809"/>
    <s v="R014"/>
  </r>
  <r>
    <s v="CFB30-0147"/>
    <x v="5"/>
    <s v="임대"/>
    <s v="이승희"/>
    <s v="디와이파워"/>
    <s v="2B-1"/>
    <s v="주간"/>
    <s v="C/B"/>
    <x v="0"/>
    <s v="클라크"/>
    <s v="GEX30"/>
    <s v="GEX 230-1211-9655 KF"/>
    <d v="2011-10-01T00:00:00"/>
    <n v="0"/>
    <m/>
    <s v="Y"/>
    <s v="케이엔엘"/>
    <d v="2023-07-01T00:00:00"/>
    <d v="2023-07-01T00:00:00"/>
    <n v="570000"/>
    <n v="33500000"/>
    <n v="30338733"/>
    <s v="R018"/>
  </r>
  <r>
    <s v="DFB25-0148"/>
    <x v="19"/>
    <s v="임대"/>
    <s v="이승희"/>
    <s v="진양"/>
    <s v="진양-148"/>
    <s v="주간"/>
    <s v="C/B"/>
    <x v="1"/>
    <s v="두산"/>
    <s v="B25S-5"/>
    <s v="FBAO8-1380-02355"/>
    <d v="2011-10-01T00:00:00"/>
    <n v="0"/>
    <m/>
    <s v="Y"/>
    <s v="엘소"/>
    <d v="2011-10-01T00:00:00"/>
    <d v="2024-02-14T00:00:00"/>
    <n v="700000"/>
    <n v="28384000"/>
    <n v="10919187"/>
    <s v="R021"/>
  </r>
  <r>
    <s v="STB20-0149"/>
    <x v="4"/>
    <s v="임대"/>
    <s v="김종근"/>
    <s v="엘소창원공장"/>
    <s v="예비-149"/>
    <s v="주간"/>
    <s v="좌식"/>
    <x v="2"/>
    <s v="수성산업"/>
    <s v="SCT2000N"/>
    <s v="SCT200N-CTBHB0002"/>
    <d v="2017-05-01T00:00:00"/>
    <n v="0"/>
    <m/>
    <s v="Y"/>
    <s v="엘소"/>
    <d v="2017-05-01T00:00:00"/>
    <d v="2024-11-01T00:00:00"/>
    <n v="0"/>
    <n v="8000000"/>
    <n v="2643500"/>
    <s v="R031"/>
  </r>
  <r>
    <s v="STB20-0150"/>
    <x v="30"/>
    <s v="임대"/>
    <s v="이상용"/>
    <s v="1MU수급물류"/>
    <s v="셰플러-150"/>
    <s v="주간"/>
    <s v="좌식"/>
    <x v="2"/>
    <s v="수성산업"/>
    <s v="SCT2000"/>
    <s v="SCT200-CTBHB0001"/>
    <d v="2017-05-01T00:00:00"/>
    <n v="0"/>
    <m/>
    <s v="Y"/>
    <s v="엘소"/>
    <d v="2017-05-01T00:00:00"/>
    <d v="2022-10-01T00:00:00"/>
    <n v="311000"/>
    <n v="8000000"/>
    <n v="1691200"/>
    <s v="R014"/>
  </r>
  <r>
    <s v="STB20-0151"/>
    <x v="30"/>
    <s v="임대"/>
    <s v="이상용"/>
    <s v="1MU 수급물류"/>
    <s v="셰플러-151"/>
    <s v="주간"/>
    <s v="좌식"/>
    <x v="2"/>
    <s v="수성산업"/>
    <s v="SCT2000"/>
    <s v="SCT200-CTBHB0002"/>
    <d v="2017-05-01T00:00:00"/>
    <n v="0"/>
    <m/>
    <s v="Y"/>
    <s v="엘소"/>
    <d v="2017-05-01T00:00:00"/>
    <d v="2022-10-01T00:00:00"/>
    <n v="311000"/>
    <n v="8000000"/>
    <n v="1789820"/>
    <s v="R014"/>
  </r>
  <r>
    <s v="STB20-0152"/>
    <x v="30"/>
    <s v="임대"/>
    <s v="이상용"/>
    <s v="1MU수급물류"/>
    <s v="셰플러-152"/>
    <s v="주간"/>
    <s v="좌식"/>
    <x v="2"/>
    <s v="수성산업"/>
    <s v="SCT2000"/>
    <s v="SCT200-CTBHB0003"/>
    <d v="2017-05-01T00:00:00"/>
    <n v="0"/>
    <m/>
    <s v="Y"/>
    <s v="엘소"/>
    <d v="2017-05-01T00:00:00"/>
    <d v="2022-10-01T00:00:00"/>
    <n v="311000"/>
    <n v="8000000"/>
    <n v="666200"/>
    <s v="R014"/>
  </r>
  <r>
    <s v="STB20-0153"/>
    <x v="30"/>
    <s v="임대"/>
    <s v="이상용"/>
    <s v="1MU수급물류"/>
    <s v="셰플러-153"/>
    <s v="주간"/>
    <s v="좌식"/>
    <x v="2"/>
    <s v="수성산업"/>
    <s v="SCT2000"/>
    <s v="SCT200-CTBJB0002"/>
    <d v="2019-07-01T00:00:00"/>
    <n v="0"/>
    <m/>
    <s v="Y"/>
    <s v="엘소"/>
    <d v="2019-07-01T00:00:00"/>
    <d v="2022-10-01T00:00:00"/>
    <n v="311000"/>
    <n v="8000000"/>
    <n v="767570"/>
    <s v="R014"/>
  </r>
  <r>
    <s v="DFO30-0154"/>
    <x v="30"/>
    <s v="임대"/>
    <s v="이상용"/>
    <s v="셰플러"/>
    <s v="예비-154"/>
    <s v="주간"/>
    <s v="C/B"/>
    <x v="0"/>
    <s v="두산"/>
    <s v="D30S-5"/>
    <s v="FDA06-1000-11572"/>
    <d v="2011-10-01T00:00:00"/>
    <n v="0"/>
    <s v="04노5190"/>
    <s v="Y"/>
    <s v="엘소"/>
    <d v="2011-10-01T00:00:00"/>
    <d v="2022-11-02T00:00:00"/>
    <n v="396000"/>
    <n v="29510000"/>
    <n v="6927244"/>
    <s v="R014"/>
  </r>
  <r>
    <s v="EFB15-0155"/>
    <x v="30"/>
    <s v="임대"/>
    <s v="이상용"/>
    <s v="1MU 볼베어링자동포장"/>
    <s v="셰플러-155"/>
    <s v="주간"/>
    <s v="핸드"/>
    <x v="5"/>
    <s v="T.M.C L&amp;F"/>
    <s v="TR15R"/>
    <s v="TR15R-2209162"/>
    <d v="2022-10-01T00:00:00"/>
    <n v="0"/>
    <m/>
    <s v="Y"/>
    <s v="엘소"/>
    <d v="2022-10-01T00:00:00"/>
    <d v="2022-10-01T00:00:00"/>
    <n v="590000"/>
    <n v="15000000"/>
    <n v="210000"/>
    <s v="R014"/>
  </r>
  <r>
    <s v="CFB25-0156"/>
    <x v="5"/>
    <s v="임대"/>
    <s v="이승희"/>
    <s v="디와이파워"/>
    <s v="5B-1"/>
    <s v="주간"/>
    <s v="C/B"/>
    <x v="1"/>
    <s v="클라크"/>
    <s v="EPX25FL"/>
    <s v="EPX360-0305-9959KF"/>
    <d v="2015-02-01T00:00:00"/>
    <n v="0"/>
    <m/>
    <s v="N"/>
    <s v="케이엔엘"/>
    <d v="2023-07-01T00:00:00"/>
    <d v="2023-07-01T00:00:00"/>
    <n v="490000"/>
    <n v="28360000"/>
    <n v="20445717"/>
    <s v="R018"/>
  </r>
  <r>
    <s v="CFB25-0157"/>
    <x v="5"/>
    <s v="임대"/>
    <s v="이승희"/>
    <s v="디와이파워"/>
    <s v="5B-5"/>
    <s v="주간"/>
    <s v="C/B"/>
    <x v="1"/>
    <s v="클라크"/>
    <s v="EPX25FL"/>
    <s v="EPX360-0304-9959KF"/>
    <d v="2015-02-01T00:00:00"/>
    <n v="0"/>
    <m/>
    <s v="N"/>
    <s v="케이엔엘"/>
    <d v="2023-07-01T00:00:00"/>
    <d v="2023-07-01T00:00:00"/>
    <n v="490000"/>
    <n v="28360000"/>
    <n v="25178660"/>
    <s v="R018"/>
  </r>
  <r>
    <s v="CFB25-0158"/>
    <x v="5"/>
    <s v="임대"/>
    <s v="이승희"/>
    <s v="디와이파워-2공장"/>
    <s v="2P-5"/>
    <s v="주간"/>
    <s v="C/B"/>
    <x v="1"/>
    <s v="클라크"/>
    <s v="EPX25FL"/>
    <s v="EPX360-0308-9959KF"/>
    <d v="2015-02-01T00:00:00"/>
    <n v="0"/>
    <m/>
    <s v="Y"/>
    <s v="케이엔엘"/>
    <d v="2023-07-01T00:00:00"/>
    <d v="2023-07-01T00:00:00"/>
    <n v="490000"/>
    <n v="28360000"/>
    <n v="29051490"/>
    <s v="R018"/>
  </r>
  <r>
    <s v="CFB20-0159"/>
    <x v="3"/>
    <s v="임대"/>
    <s v="이병대"/>
    <s v="대구 달성공장"/>
    <s v="대동-159"/>
    <s v="주간"/>
    <s v="입식"/>
    <x v="2"/>
    <s v="클라크"/>
    <m/>
    <s v="CRX205-01079957KF"/>
    <d v="2015-01-01T00:00:00"/>
    <n v="0"/>
    <m/>
    <s v="Y"/>
    <s v="케이엔엘"/>
    <d v="2015-08-01T00:00:00"/>
    <d v="2024-11-19T00:00:00"/>
    <n v="700000"/>
    <n v="23370000"/>
    <n v="5173276"/>
    <s v="R043"/>
  </r>
  <r>
    <s v="CFB25-0160"/>
    <x v="31"/>
    <s v="임대"/>
    <s v="이승희"/>
    <s v="디와이파워_신아"/>
    <s v="신아-160"/>
    <s v="주간"/>
    <s v="C/B"/>
    <x v="1"/>
    <s v="클라크"/>
    <m/>
    <s v="EPX36018069652KF"/>
    <d v="2008-05-01T00:00:00"/>
    <n v="0"/>
    <m/>
    <s v="Y"/>
    <s v="케이엔엘"/>
    <d v="2008-05-01T00:00:00"/>
    <d v="2024-07-01T00:00:00"/>
    <n v="580000"/>
    <n v="20700000"/>
    <n v="50214750"/>
    <s v="R039"/>
  </r>
  <r>
    <s v="CFB25-0161"/>
    <x v="20"/>
    <s v="임대"/>
    <s v="손화나"/>
    <s v="오페"/>
    <s v="오페-161"/>
    <s v="2교대"/>
    <s v="C/B"/>
    <x v="1"/>
    <s v="클라크"/>
    <m/>
    <s v="EPX36032249652KF"/>
    <d v="2010-03-01T00:00:00"/>
    <n v="0"/>
    <m/>
    <s v="Y"/>
    <s v="케이엔엘"/>
    <d v="2010-03-01T00:00:00"/>
    <d v="2024-07-01T00:00:00"/>
    <n v="530000"/>
    <n v="25640000"/>
    <n v="41938830"/>
    <s v="R036"/>
  </r>
  <r>
    <s v="CFB30-0162"/>
    <x v="32"/>
    <s v="임대"/>
    <s v="손화나"/>
    <s v="SNT다이내믹스"/>
    <s v="SNT-162"/>
    <s v="주간"/>
    <s v="C/B"/>
    <x v="0"/>
    <s v="클라크"/>
    <m/>
    <s v="EPX36021199652KF"/>
    <d v="2008-07-01T00:00:00"/>
    <n v="0"/>
    <m/>
    <s v="Y"/>
    <s v="케이엔엘"/>
    <d v="2008-07-01T00:00:00"/>
    <d v="2024-07-01T00:00:00"/>
    <n v="500000"/>
    <n v="23400000"/>
    <n v="39254410"/>
    <s v="R038"/>
  </r>
  <r>
    <s v="EFB15-0163"/>
    <x v="25"/>
    <s v="임대"/>
    <s v="정도겸"/>
    <s v="세아에샵"/>
    <s v="에샵-163"/>
    <s v="주간"/>
    <s v="C/B"/>
    <x v="5"/>
    <s v="예일이큅먼트"/>
    <s v="MR16HD"/>
    <s v="D849T05045S"/>
    <d v="2018-10-17T00:00:00"/>
    <n v="0"/>
    <m/>
    <s v="Y"/>
    <s v="케이엔엘"/>
    <d v="2022-11-01T00:00:00"/>
    <d v="2022-11-01T00:00:00"/>
    <n v="1100000"/>
    <n v="20000000"/>
    <n v="2337380"/>
    <s v="R023"/>
  </r>
  <r>
    <s v="EFB15-0164"/>
    <x v="25"/>
    <s v="임대"/>
    <s v="정도겸"/>
    <s v="세아에샵"/>
    <s v="에샵-164"/>
    <s v="주간"/>
    <s v="C/B"/>
    <x v="5"/>
    <s v="예일이큅먼트"/>
    <s v="MR16HD"/>
    <s v="D849T05044S"/>
    <d v="2018-10-17T00:00:00"/>
    <n v="0"/>
    <m/>
    <s v="Y"/>
    <s v="케이엔엘"/>
    <d v="2022-11-01T00:00:00"/>
    <d v="2022-11-10T00:00:00"/>
    <n v="1100000"/>
    <n v="20000000"/>
    <n v="790850"/>
    <s v="R023"/>
  </r>
  <r>
    <s v="DFO30-0165"/>
    <x v="25"/>
    <s v="임대"/>
    <s v="정도겸"/>
    <s v="세아에샵"/>
    <s v="에샵-165"/>
    <s v="주간"/>
    <s v="C/B"/>
    <x v="0"/>
    <s v="두산"/>
    <s v="D30S-5"/>
    <s v="D30S5-02405"/>
    <d v="2009-06-12T00:00:00"/>
    <n v="0"/>
    <s v="경남04도5857"/>
    <s v="Y"/>
    <s v="케이엔엘"/>
    <d v="2022-11-01T00:00:00"/>
    <d v="2022-11-10T00:00:00"/>
    <n v="850000"/>
    <n v="2000000"/>
    <n v="4232370"/>
    <s v="R023"/>
  </r>
  <r>
    <s v="DFO30-0166"/>
    <x v="4"/>
    <s v="임대"/>
    <s v="김종근"/>
    <s v="엘소창원공장"/>
    <s v="예비-166"/>
    <s v="주간"/>
    <s v="C/B"/>
    <x v="0"/>
    <s v="두산"/>
    <s v="D30S-3"/>
    <s v="D30S3-9209"/>
    <d v="2006-11-08T00:00:00"/>
    <n v="0"/>
    <s v="경남04도5856"/>
    <s v="Y"/>
    <s v="케이엔엘"/>
    <d v="2022-11-01T00:00:00"/>
    <d v="2025-01-17T00:00:00"/>
    <n v="0"/>
    <n v="2000000"/>
    <n v="3591210"/>
    <s v="R031"/>
  </r>
  <r>
    <s v="DFO30-0167"/>
    <x v="11"/>
    <s v="임대"/>
    <s v="이승희"/>
    <s v="대신 창원공장"/>
    <s v="대신-창원-167"/>
    <s v="주간"/>
    <s v="C/B"/>
    <x v="0"/>
    <s v="두산"/>
    <s v="D30S-3"/>
    <s v="D30S3-1971"/>
    <d v="2001-08-13T00:00:00"/>
    <n v="0"/>
    <s v="경남04도5858"/>
    <s v="N"/>
    <s v="케이엔엘"/>
    <d v="2022-11-01T00:00:00"/>
    <d v="2024-12-01T00:00:00"/>
    <n v="700000"/>
    <n v="2000000"/>
    <n v="6256160"/>
    <s v="R006"/>
  </r>
  <r>
    <s v="DFO30-0168"/>
    <x v="25"/>
    <s v="임대"/>
    <s v="정도겸"/>
    <s v="세아에샵"/>
    <s v="에샵-168"/>
    <s v="주간"/>
    <s v="C/B"/>
    <x v="0"/>
    <s v="두산"/>
    <s v="D30S-5"/>
    <s v="FDA06-1000-12094"/>
    <d v="2012-02-02T00:00:00"/>
    <n v="0"/>
    <s v="경남04도5859"/>
    <s v="Y"/>
    <s v="케이엔엘"/>
    <d v="2022-11-10T00:00:00"/>
    <d v="2022-11-10T00:00:00"/>
    <n v="850000"/>
    <n v="2000000"/>
    <n v="3119330"/>
    <s v="R023"/>
  </r>
  <r>
    <s v="CFO80-0170"/>
    <x v="33"/>
    <s v="임대"/>
    <s v="최수진"/>
    <s v="초대형하역"/>
    <s v="볼보-170"/>
    <s v="주간"/>
    <s v="C/B"/>
    <x v="14"/>
    <s v="클라크"/>
    <s v="C80D"/>
    <s v="P680D06059654KF"/>
    <d v="2020-05-01T00:00:00"/>
    <n v="0"/>
    <s v="경남04고7725"/>
    <s v="Y"/>
    <s v="디에스엘"/>
    <d v="2023-01-01T00:00:00"/>
    <d v="2023-01-01T00:00:00"/>
    <n v="1500000"/>
    <n v="5000000"/>
    <n v="2315000"/>
    <s v="R026"/>
  </r>
  <r>
    <s v="CFO45-0171"/>
    <x v="4"/>
    <s v="임대"/>
    <s v="김종근"/>
    <s v="엘소창원공장"/>
    <s v="예비-171"/>
    <s v="주간"/>
    <s v="C/B"/>
    <x v="13"/>
    <s v="클라크"/>
    <s v="C45KD"/>
    <s v="P455D00209783KF"/>
    <d v="2010-01-01T00:00:00"/>
    <n v="0"/>
    <s v="경남04고8663"/>
    <s v="Y"/>
    <s v="케이엔엘"/>
    <d v="2023-01-01T00:00:00"/>
    <d v="2025-01-01T00:00:00"/>
    <n v="0"/>
    <n v="5000000"/>
    <n v="2098090"/>
    <s v="R031"/>
  </r>
  <r>
    <s v="CFO45-0172"/>
    <x v="4"/>
    <s v="임대"/>
    <s v="김종근"/>
    <s v="엘소창원공장"/>
    <s v="예비-172"/>
    <s v="주간"/>
    <s v="C/B"/>
    <x v="13"/>
    <s v="클라크"/>
    <s v="C45KD"/>
    <s v="P455D00419783KF"/>
    <d v="2011-01-01T00:00:00"/>
    <n v="0"/>
    <s v="경남04고8775"/>
    <s v="Y"/>
    <s v="케이엔엘"/>
    <d v="2023-01-01T00:00:00"/>
    <d v="2024-04-01T00:00:00"/>
    <n v="0"/>
    <n v="5000000"/>
    <n v="1375980"/>
    <s v="R031"/>
  </r>
  <r>
    <s v="CFO33-0173"/>
    <x v="33"/>
    <s v="임대"/>
    <s v="최수진"/>
    <s v="절단품입고"/>
    <s v="볼보-173"/>
    <s v="주간"/>
    <s v="C/B"/>
    <x v="11"/>
    <s v="클라크"/>
    <s v="GTS33DE"/>
    <s v="GTS232D11739820KF"/>
    <d v="2013-03-01T00:00:00"/>
    <n v="0"/>
    <s v="경남04노5913"/>
    <s v="Y"/>
    <s v="디에스엘"/>
    <d v="2023-01-18T00:00:00"/>
    <d v="2023-01-01T00:00:00"/>
    <n v="1000000"/>
    <n v="5000000"/>
    <n v="3741110"/>
    <s v="R026"/>
  </r>
  <r>
    <s v="CFO33-0174"/>
    <x v="33"/>
    <s v="임대"/>
    <s v="최수진"/>
    <s v="외주품하역"/>
    <s v="볼보-174"/>
    <s v="주간"/>
    <s v="C/B"/>
    <x v="11"/>
    <s v="클라크"/>
    <s v="GTS33DE"/>
    <s v="GTS232D12889820KF"/>
    <d v="2013-06-01T00:00:00"/>
    <n v="0"/>
    <s v="경남04노6034"/>
    <s v="Y"/>
    <s v="디에스엘"/>
    <d v="2023-01-01T00:00:00"/>
    <d v="2023-01-01T00:00:00"/>
    <n v="1000000"/>
    <n v="5000000"/>
    <n v="2988600"/>
    <s v="R026"/>
  </r>
  <r>
    <s v="CFO45-0175"/>
    <x v="33"/>
    <s v="임대"/>
    <s v="최수진"/>
    <s v="중형요상/하"/>
    <s v="볼보-175"/>
    <s v="주간"/>
    <s v="C/B"/>
    <x v="13"/>
    <s v="클라크"/>
    <s v="C45KD"/>
    <s v="P455D01379885KF"/>
    <d v="2013-06-01T00:00:00"/>
    <n v="0"/>
    <s v="경남04노6035"/>
    <s v="Y"/>
    <s v="디에스엘"/>
    <d v="2023-01-01T00:00:00"/>
    <d v="2023-01-01T00:00:00"/>
    <n v="1100000"/>
    <n v="5000000"/>
    <n v="3745460"/>
    <s v="R026"/>
  </r>
  <r>
    <s v="CFO45-0176"/>
    <x v="33"/>
    <s v="임대"/>
    <s v="최수진"/>
    <s v="반제품물류"/>
    <s v="볼보-176"/>
    <s v="주간"/>
    <s v="C/B"/>
    <x v="13"/>
    <s v="클라크"/>
    <s v="C45KD"/>
    <s v="P455D01659885KF"/>
    <d v="2013-10-01T00:00:00"/>
    <n v="0"/>
    <s v="경남04노6173"/>
    <s v="Y"/>
    <s v="디에스엘"/>
    <d v="2023-01-01T00:00:00"/>
    <d v="2023-01-01T00:00:00"/>
    <n v="1100000"/>
    <n v="5000000"/>
    <n v="1862910"/>
    <s v="R026"/>
  </r>
  <r>
    <s v="CFO80-0177"/>
    <x v="33"/>
    <s v="임대"/>
    <s v="최수진"/>
    <s v="반제품물류이송"/>
    <s v="볼보-177"/>
    <s v="주간"/>
    <s v="C/B"/>
    <x v="14"/>
    <s v="클라크"/>
    <s v="C80DH"/>
    <s v="P680D 00629979KF"/>
    <d v="2019-01-01T00:00:00"/>
    <n v="0"/>
    <s v="경남04노8494"/>
    <s v="Y"/>
    <s v="디에스엘"/>
    <d v="2023-01-01T00:00:00"/>
    <d v="2023-01-01T00:00:00"/>
    <n v="1500000"/>
    <n v="19293000"/>
    <n v="3538570"/>
    <s v="R026"/>
  </r>
  <r>
    <s v="CFO45-0178"/>
    <x v="33"/>
    <s v="임대"/>
    <s v="최수진"/>
    <s v="중형하부상/하"/>
    <s v="볼보-178"/>
    <s v="주간"/>
    <s v="C/B"/>
    <x v="13"/>
    <s v="클라크"/>
    <s v="C45KD"/>
    <s v="P455D03579964KF"/>
    <d v="2021-01-01T00:00:00"/>
    <n v="0"/>
    <s v="경남04도5165"/>
    <s v="Y"/>
    <s v="디에스엘"/>
    <d v="2023-01-01T00:00:00"/>
    <d v="2023-01-01T00:00:00"/>
    <n v="1100000"/>
    <n v="28681000"/>
    <n v="5687500"/>
    <s v="R026"/>
  </r>
  <r>
    <s v="CFO45-0179"/>
    <x v="33"/>
    <s v="임대"/>
    <s v="최수진"/>
    <s v="절단품입고"/>
    <s v="볼보-179"/>
    <s v="주간"/>
    <s v="C/B"/>
    <x v="13"/>
    <s v="클라크"/>
    <s v="C45KD"/>
    <s v="P455D0358996KF"/>
    <d v="2021-01-01T00:00:00"/>
    <n v="0"/>
    <s v="경남04도5166"/>
    <s v="Y"/>
    <s v="디에스엘"/>
    <d v="2023-01-01T00:00:00"/>
    <d v="2023-01-01T00:00:00"/>
    <n v="1100000"/>
    <n v="28681000"/>
    <n v="6618420"/>
    <s v="R026"/>
  </r>
  <r>
    <s v="CFO45-0180"/>
    <x v="33"/>
    <s v="임대"/>
    <s v="최수진"/>
    <s v="중형하부상/하"/>
    <s v="볼보-180"/>
    <s v="주간"/>
    <s v="C/B"/>
    <x v="13"/>
    <s v="클라크"/>
    <s v="C45KD"/>
    <s v="P455D03659964KF"/>
    <d v="2021-01-01T00:00:00"/>
    <n v="0"/>
    <s v="경남04도5167"/>
    <s v="Y"/>
    <s v="디에스엘"/>
    <d v="2023-01-01T00:00:00"/>
    <d v="2023-01-01T00:00:00"/>
    <n v="1100000"/>
    <n v="28681000"/>
    <n v="4207600"/>
    <s v="R026"/>
  </r>
  <r>
    <s v="CFB50-0181"/>
    <x v="33"/>
    <s v="임대"/>
    <s v="최수진"/>
    <s v="반제품물류이동"/>
    <s v="볼보-181"/>
    <s v="주간"/>
    <s v="C/B"/>
    <x v="7"/>
    <s v="클라크"/>
    <s v="GEX50"/>
    <s v="GEX450-0287-9868-KF"/>
    <d v="2017-05-01T00:00:00"/>
    <n v="0"/>
    <m/>
    <s v="Y"/>
    <s v="디에스엘"/>
    <d v="2023-01-01T00:00:00"/>
    <d v="2023-01-01T00:00:00"/>
    <n v="1200000"/>
    <n v="5000000"/>
    <n v="963160"/>
    <s v="R026"/>
  </r>
  <r>
    <s v="CFB50-0182"/>
    <x v="33"/>
    <s v="임대"/>
    <s v="최수진"/>
    <s v="반제품물류이송"/>
    <s v="볼보-182"/>
    <s v="주간"/>
    <s v="C/B"/>
    <x v="7"/>
    <s v="클라크"/>
    <s v="GEX50"/>
    <s v="GEX450-0378-9868-KF"/>
    <d v="2021-03-01T00:00:00"/>
    <n v="0"/>
    <m/>
    <s v="Y"/>
    <s v="디에스엘"/>
    <d v="2023-01-01T00:00:00"/>
    <d v="2023-01-01T00:00:00"/>
    <n v="1200000"/>
    <n v="44077000"/>
    <n v="14861890"/>
    <s v="R026"/>
  </r>
  <r>
    <s v="CFB50-0183"/>
    <x v="33"/>
    <s v="임대"/>
    <s v="최수진"/>
    <s v="반제품물류이송"/>
    <s v="볼보-183"/>
    <s v="주간"/>
    <s v="C/B"/>
    <x v="7"/>
    <s v="클라크"/>
    <s v="GEX50"/>
    <s v="GEX450-0377-9868-KF"/>
    <d v="2018-04-01T00:00:00"/>
    <n v="0"/>
    <m/>
    <s v="Y"/>
    <s v="디에스엘"/>
    <d v="2023-01-01T00:00:00"/>
    <d v="2023-01-01T00:00:00"/>
    <n v="1200000"/>
    <n v="8085000"/>
    <n v="2633590"/>
    <s v="R026"/>
  </r>
  <r>
    <s v="CFB50-0184"/>
    <x v="33"/>
    <s v="임대"/>
    <s v="최수진"/>
    <s v="BOOM/ARM하역"/>
    <s v="볼보-184"/>
    <s v="주간"/>
    <s v="C/B"/>
    <x v="7"/>
    <s v="클라크"/>
    <s v="GEX50"/>
    <s v="GEX450-0698-9868-KF"/>
    <d v="2022-09-01T00:00:00"/>
    <n v="0"/>
    <m/>
    <s v="Y"/>
    <s v="디에스엘"/>
    <d v="2023-01-01T00:00:00"/>
    <d v="2023-01-01T00:00:00"/>
    <n v="1200000"/>
    <n v="62587000"/>
    <n v="170000"/>
    <s v="R026"/>
  </r>
  <r>
    <s v="CFB25-0185"/>
    <x v="5"/>
    <s v="임대"/>
    <s v="이승희"/>
    <s v="디와이파워-2공장"/>
    <s v="2P-3"/>
    <s v="주간"/>
    <s v="입식"/>
    <x v="1"/>
    <s v="클라크"/>
    <s v="CRX25"/>
    <s v="CRX205-1001-9659-KF"/>
    <d v="2010-09-01T00:00:00"/>
    <n v="0"/>
    <m/>
    <s v="N"/>
    <s v="케이엔엘"/>
    <d v="2023-07-01T00:00:00"/>
    <d v="2023-07-01T00:00:00"/>
    <n v="440000"/>
    <n v="3000000"/>
    <n v="2339800"/>
    <s v="R018"/>
  </r>
  <r>
    <s v="CFB25-0186"/>
    <x v="5"/>
    <s v="임대"/>
    <s v="이승희"/>
    <s v="디와이파워"/>
    <s v="5B-2"/>
    <s v="주간"/>
    <s v="입식"/>
    <x v="1"/>
    <s v="클라크"/>
    <s v="CRX25"/>
    <s v="CRX205-1350-9659-KF"/>
    <d v="2011-06-01T00:00:00"/>
    <n v="0"/>
    <m/>
    <s v="Y"/>
    <s v="케이엔엘"/>
    <d v="2023-07-01T00:00:00"/>
    <d v="2023-07-01T00:00:00"/>
    <n v="440000"/>
    <n v="3000000"/>
    <n v="1731500"/>
    <s v="R018"/>
  </r>
  <r>
    <s v="CFB25-0187"/>
    <x v="32"/>
    <s v="임대"/>
    <s v="손화나"/>
    <s v="SNT다이내믹스"/>
    <s v="SNT-187"/>
    <s v="주간"/>
    <s v="입식"/>
    <x v="1"/>
    <s v="클라크"/>
    <s v="CRX25"/>
    <s v="CRX205-1399-9659-KF"/>
    <d v="2011-08-01T00:00:00"/>
    <n v="11050"/>
    <m/>
    <s v="N"/>
    <s v="케이엔엘"/>
    <d v="2023-01-01T00:00:00"/>
    <d v="2024-06-01T00:00:00"/>
    <n v="430000"/>
    <n v="3000000"/>
    <n v="3522940"/>
    <s v="R038"/>
  </r>
  <r>
    <s v="CFB25-0188"/>
    <x v="5"/>
    <s v="임대"/>
    <s v="이승희"/>
    <s v="디와이파워"/>
    <s v="5B-8"/>
    <s v="주간"/>
    <s v="입식"/>
    <x v="1"/>
    <s v="클라크"/>
    <s v="CRX25"/>
    <s v="CRX205-1706-9659-KF"/>
    <d v="2012-06-01T00:00:00"/>
    <n v="0"/>
    <m/>
    <s v="N"/>
    <s v="케이엔엘"/>
    <d v="2023-07-01T00:00:00"/>
    <d v="2023-07-01T00:00:00"/>
    <n v="400000"/>
    <n v="3000000"/>
    <n v="3273010"/>
    <s v="R018"/>
  </r>
  <r>
    <s v="CFB25-0189"/>
    <x v="5"/>
    <s v="임대"/>
    <s v="이승희"/>
    <s v="디와이파워"/>
    <s v="예비"/>
    <s v="주간"/>
    <s v="입식"/>
    <x v="1"/>
    <s v="클라크"/>
    <s v="CRX25"/>
    <s v="CRX205-2290-9659-KF"/>
    <d v="2014-02-01T00:00:00"/>
    <n v="0"/>
    <m/>
    <s v="N"/>
    <s v="케이엔엘"/>
    <d v="2023-07-01T00:00:00"/>
    <d v="2023-07-25T00:00:00"/>
    <n v="0"/>
    <n v="3000000"/>
    <n v="5450360"/>
    <s v="R018"/>
  </r>
  <r>
    <s v="CFB25-0190"/>
    <x v="5"/>
    <s v="임대"/>
    <s v="이승희"/>
    <s v="디와이파워"/>
    <s v="4B-3"/>
    <s v="주간"/>
    <s v="입식"/>
    <x v="1"/>
    <s v="클라크"/>
    <s v="CRX25"/>
    <s v="CRX205-2289-9659-KF"/>
    <d v="2014-02-01T00:00:00"/>
    <n v="0"/>
    <m/>
    <s v="N"/>
    <s v="케이엔엘"/>
    <d v="2023-07-01T00:00:00"/>
    <d v="2023-07-01T00:00:00"/>
    <n v="440000"/>
    <n v="3000000"/>
    <n v="1130000"/>
    <s v="R018"/>
  </r>
  <r>
    <s v="CFB25-0191"/>
    <x v="5"/>
    <s v="임대"/>
    <s v="이승희"/>
    <s v="디와이파워-2공장"/>
    <s v="2P-1"/>
    <s v="주간"/>
    <s v="입식"/>
    <x v="1"/>
    <s v="클라크"/>
    <s v="CRX25"/>
    <s v="CRX205-2308-9659-KF"/>
    <d v="2014-03-01T00:00:00"/>
    <n v="0"/>
    <m/>
    <s v="N"/>
    <s v="케이엔엘"/>
    <d v="2023-07-01T00:00:00"/>
    <d v="2023-07-01T00:00:00"/>
    <n v="440000"/>
    <n v="3000000"/>
    <n v="3099870"/>
    <s v="R018"/>
  </r>
  <r>
    <s v="CFB25-0192"/>
    <x v="5"/>
    <s v="임대"/>
    <s v="이승희"/>
    <s v="디와이파워-2공장"/>
    <s v="2P-2"/>
    <s v="주간"/>
    <s v="입식"/>
    <x v="1"/>
    <s v="클라크"/>
    <s v="CRX25"/>
    <s v="CRX205-2309-9659-KF"/>
    <d v="2014-03-01T00:00:00"/>
    <n v="0"/>
    <m/>
    <s v="N"/>
    <s v="케이엔엘"/>
    <d v="2023-07-01T00:00:00"/>
    <d v="2023-07-01T00:00:00"/>
    <n v="440000"/>
    <n v="3000000"/>
    <n v="2146180"/>
    <s v="R018"/>
  </r>
  <r>
    <s v="CFB25-0193"/>
    <x v="5"/>
    <s v="임대"/>
    <s v="이승희"/>
    <s v="디와이파워"/>
    <s v="5B-6"/>
    <s v="주간"/>
    <s v="입식"/>
    <x v="1"/>
    <s v="클라크"/>
    <s v="CRX25FL"/>
    <s v="CRX205-1102-9957-KF"/>
    <d v="2017-08-01T00:00:00"/>
    <n v="0"/>
    <m/>
    <s v="N"/>
    <s v="케이엔엘"/>
    <d v="2023-07-01T00:00:00"/>
    <d v="2023-07-01T00:00:00"/>
    <n v="440000"/>
    <n v="3000000"/>
    <n v="1434000"/>
    <s v="R018"/>
  </r>
  <r>
    <s v="CFB25-0194"/>
    <x v="5"/>
    <s v="임대"/>
    <s v="이승희"/>
    <s v="디와이파워"/>
    <s v="1B-1"/>
    <s v="주간"/>
    <s v="입식"/>
    <x v="1"/>
    <s v="클라크"/>
    <s v="CRX25FL"/>
    <s v="CRX205-1106-9957-KF"/>
    <d v="2017-08-01T00:00:00"/>
    <n v="0"/>
    <m/>
    <s v="N"/>
    <s v="케이엔엘"/>
    <d v="2023-07-01T00:00:00"/>
    <d v="2023-07-01T00:00:00"/>
    <n v="440000"/>
    <n v="3000000"/>
    <n v="1840000"/>
    <s v="R018"/>
  </r>
  <r>
    <s v="CFB25-0195"/>
    <x v="5"/>
    <s v="임대"/>
    <s v="이승희"/>
    <s v="디와이파워"/>
    <s v="4B-1"/>
    <s v="주간"/>
    <s v="입식"/>
    <x v="1"/>
    <s v="클라크"/>
    <m/>
    <s v="CRX205-1195-9957-KF"/>
    <d v="2017-10-01T00:00:00"/>
    <n v="0"/>
    <m/>
    <s v="N"/>
    <s v="케이엔엘"/>
    <d v="2023-07-01T00:00:00"/>
    <d v="2023-07-01T00:00:00"/>
    <n v="440000"/>
    <n v="3000000"/>
    <n v="1489070"/>
    <s v="R018"/>
  </r>
  <r>
    <s v="CFB25-0196"/>
    <x v="5"/>
    <s v="임대"/>
    <s v="이승희"/>
    <s v="디와이파워"/>
    <s v="4B-6"/>
    <s v="주간"/>
    <s v="입식"/>
    <x v="1"/>
    <s v="클라크"/>
    <s v="CRX25FL"/>
    <s v="CRX205-1197-9957-KF"/>
    <d v="2017-11-01T00:00:00"/>
    <n v="0"/>
    <m/>
    <s v="N"/>
    <s v="케이엔엘"/>
    <d v="2023-07-01T00:00:00"/>
    <d v="2023-07-01T00:00:00"/>
    <n v="440000"/>
    <n v="3000000"/>
    <n v="1360600"/>
    <s v="R018"/>
  </r>
  <r>
    <s v="CFB25-0197"/>
    <x v="7"/>
    <s v="임대"/>
    <s v="이승희"/>
    <s v="표준공장(5층)"/>
    <s v="대신-마산-197"/>
    <s v="주간"/>
    <s v="입식"/>
    <x v="1"/>
    <s v="클라크"/>
    <s v="CRX25FL"/>
    <s v="CRX205-1436-9957-KF"/>
    <d v="2018-04-01T00:00:00"/>
    <n v="0"/>
    <m/>
    <s v="Y"/>
    <s v="케이엔엘"/>
    <d v="2023-01-01T00:00:00"/>
    <d v="2023-12-01T00:00:00"/>
    <n v="600000"/>
    <n v="4467000"/>
    <n v="1229120"/>
    <s v="R003"/>
  </r>
  <r>
    <s v="CFB25-0198"/>
    <x v="32"/>
    <s v="임대"/>
    <s v="손화나"/>
    <s v="SNT다이내믹스"/>
    <s v="SNT-198"/>
    <s v="주간"/>
    <s v="입식"/>
    <x v="1"/>
    <s v="클라크"/>
    <s v="CRX25FL"/>
    <s v="CRX205-1435-9957-KF"/>
    <d v="2018-04-01T00:00:00"/>
    <n v="0"/>
    <m/>
    <s v="Y"/>
    <s v="케이엔엘"/>
    <d v="2023-01-01T00:00:00"/>
    <d v="2025-03-04T00:00:00"/>
    <n v="450000"/>
    <n v="4467000"/>
    <n v="7091960"/>
    <s v="R038"/>
  </r>
  <r>
    <s v="CFB25-0199"/>
    <x v="33"/>
    <s v="임대"/>
    <s v="최수진"/>
    <s v="대형ARMKIT"/>
    <s v="볼보-199"/>
    <s v="주간"/>
    <s v="입식"/>
    <x v="1"/>
    <s v="클라크"/>
    <s v="CRX25FL"/>
    <s v="CRX205-2879-9957-KF"/>
    <d v="2021-01-01T00:00:00"/>
    <n v="0"/>
    <m/>
    <s v="Y"/>
    <s v="디에스엘"/>
    <d v="2023-01-01T00:00:00"/>
    <d v="2023-01-01T00:00:00"/>
    <n v="950000"/>
    <n v="20604000"/>
    <n v="518770"/>
    <s v="R026"/>
  </r>
  <r>
    <s v="CFB25-0200"/>
    <x v="33"/>
    <s v="임대"/>
    <s v="최수진"/>
    <s v="외주품,절단품"/>
    <s v="볼보-200"/>
    <s v="주간"/>
    <s v="입식"/>
    <x v="1"/>
    <s v="클라크"/>
    <s v="CRX25FL"/>
    <s v="CRX205-2880-9957-KF"/>
    <d v="2021-01-01T00:00:00"/>
    <n v="0"/>
    <m/>
    <s v="Y"/>
    <s v="디에스엘"/>
    <d v="2023-01-01T00:00:00"/>
    <d v="2023-01-01T00:00:00"/>
    <n v="950000"/>
    <n v="20604000"/>
    <n v="488400"/>
    <s v="R026"/>
  </r>
  <r>
    <s v="CFB25-0201"/>
    <x v="33"/>
    <s v="임대"/>
    <s v="최수진"/>
    <s v="중형BOOMKIT"/>
    <s v="볼보-201"/>
    <s v="주간"/>
    <s v="입식"/>
    <x v="1"/>
    <s v="클라크"/>
    <s v="CRX25FL"/>
    <s v="CRX205-3870-9957-KF"/>
    <d v="2022-09-01T00:00:00"/>
    <n v="0"/>
    <m/>
    <s v="Y"/>
    <s v="디에스엘"/>
    <d v="2023-01-01T00:00:00"/>
    <d v="2023-01-01T00:00:00"/>
    <n v="950000"/>
    <n v="30384000"/>
    <n v="65000"/>
    <s v="R026"/>
  </r>
  <r>
    <s v="CFB25-0202"/>
    <x v="33"/>
    <s v="임대"/>
    <s v="최수진"/>
    <s v="중형상부투입"/>
    <s v="볼보-202"/>
    <s v="주간"/>
    <s v="입식"/>
    <x v="1"/>
    <s v="클라크"/>
    <s v="CRX25FL"/>
    <s v="CRX205-3905-9957-KF"/>
    <d v="2022-10-01T00:00:00"/>
    <n v="0"/>
    <m/>
    <s v="Y"/>
    <s v="디에스엘"/>
    <d v="2023-01-01T00:00:00"/>
    <d v="2023-01-01T00:00:00"/>
    <n v="950000"/>
    <n v="30873000"/>
    <m/>
    <s v="R026"/>
  </r>
  <r>
    <s v="ETB15-0203"/>
    <x v="33"/>
    <s v="임대"/>
    <s v="최수진"/>
    <s v="가공BULK"/>
    <s v="볼보-203"/>
    <s v="주간"/>
    <s v="C/B"/>
    <x v="5"/>
    <s v="T.M.C"/>
    <s v="TPT15X"/>
    <s v="TPT15X2030458"/>
    <d v="2012-03-01T00:00:00"/>
    <n v="0"/>
    <m/>
    <s v="Y"/>
    <s v="디에스엘"/>
    <d v="2023-01-01T00:00:00"/>
    <d v="2023-01-01T00:00:00"/>
    <n v="850000"/>
    <n v="3000000"/>
    <n v="2440000"/>
    <s v="R026"/>
  </r>
  <r>
    <s v="ETB15-0204"/>
    <x v="33"/>
    <s v="임대"/>
    <s v="최수진"/>
    <s v="소형BULK"/>
    <s v="볼보-204"/>
    <s v="주간"/>
    <s v="C/B"/>
    <x v="5"/>
    <s v="T.M.C"/>
    <s v="TPT15X"/>
    <s v="TPT15X2030457"/>
    <d v="2012-03-01T00:00:00"/>
    <n v="0"/>
    <m/>
    <s v="Y"/>
    <s v="디에스엘"/>
    <d v="2023-01-01T00:00:00"/>
    <d v="2023-01-01T00:00:00"/>
    <n v="850000"/>
    <n v="3000000"/>
    <m/>
    <s v="R026"/>
  </r>
  <r>
    <s v="ETB15-0205"/>
    <x v="33"/>
    <s v="임대"/>
    <s v="최수진"/>
    <s v="대형상부라인"/>
    <s v="볼보-205"/>
    <s v="주간"/>
    <s v="C/B"/>
    <x v="5"/>
    <s v="게이트"/>
    <s v="GTE20"/>
    <s v="GTEP20-2111102"/>
    <d v="2021-11-01T00:00:00"/>
    <n v="0"/>
    <m/>
    <s v="Y"/>
    <s v="디에스엘"/>
    <d v="2023-01-01T00:00:00"/>
    <d v="2023-01-01T00:00:00"/>
    <n v="850000"/>
    <n v="11669000"/>
    <n v="8800"/>
    <s v="R026"/>
  </r>
  <r>
    <s v="ETB15-0206"/>
    <x v="33"/>
    <s v="임대"/>
    <s v="최수진"/>
    <s v="엔진,SP라인"/>
    <s v="볼보-206"/>
    <s v="주간"/>
    <s v="C/B"/>
    <x v="5"/>
    <s v="동명"/>
    <s v="HT15X"/>
    <s v="HT15X-0425"/>
    <d v="2005-04-01T00:00:00"/>
    <n v="0"/>
    <m/>
    <s v="Y"/>
    <s v="디에스엘"/>
    <d v="2023-01-01T00:00:00"/>
    <d v="2023-01-01T00:00:00"/>
    <n v="850000"/>
    <n v="3000000"/>
    <n v="75000"/>
    <s v="R026"/>
  </r>
  <r>
    <s v="CFB25-0207"/>
    <x v="18"/>
    <s v="임대"/>
    <s v="이승희"/>
    <s v="현장-1공장"/>
    <s v="이래CS-207"/>
    <s v="주간"/>
    <s v="C/B"/>
    <x v="1"/>
    <s v="클라크"/>
    <s v="EPX25FL"/>
    <s v="EPX360FL63289959KF"/>
    <d v="2023-02-14T00:00:00"/>
    <n v="0"/>
    <m/>
    <s v="Y"/>
    <s v="케이엔엘"/>
    <d v="2023-02-28T00:00:00"/>
    <d v="2023-03-01T00:00:00"/>
    <n v="650000"/>
    <n v="31300000"/>
    <m/>
    <s v="R012"/>
  </r>
  <r>
    <s v="CFB25-0208"/>
    <x v="18"/>
    <s v="임대"/>
    <s v="이승희"/>
    <s v="현장-2공장"/>
    <s v="이래CS-208"/>
    <s v="주간"/>
    <s v="C/B"/>
    <x v="1"/>
    <s v="클라크"/>
    <s v="EPX25FL"/>
    <s v="EPX360FL63319959KF"/>
    <d v="2023-02-14T00:00:00"/>
    <n v="0"/>
    <m/>
    <s v="Y"/>
    <s v="케이엔엘"/>
    <d v="2023-02-28T00:00:00"/>
    <d v="2023-03-01T00:00:00"/>
    <n v="650000"/>
    <n v="31300000"/>
    <n v="576500"/>
    <s v="R012"/>
  </r>
  <r>
    <s v="CFB25-0209"/>
    <x v="18"/>
    <s v="임대"/>
    <s v="이승희"/>
    <s v="현장-1공장"/>
    <s v="이래CS-209"/>
    <s v="주간"/>
    <s v="C/B"/>
    <x v="1"/>
    <s v="클라크"/>
    <s v="EPX25FL"/>
    <s v="EPX360FL63309959KF"/>
    <d v="2023-02-14T00:00:00"/>
    <n v="0"/>
    <m/>
    <s v="Y"/>
    <s v="케이엔엘"/>
    <d v="2023-02-28T00:00:00"/>
    <d v="2023-03-01T00:00:00"/>
    <n v="650000"/>
    <n v="31300000"/>
    <n v="23100"/>
    <s v="R012"/>
  </r>
  <r>
    <s v="CFB25-0210"/>
    <x v="18"/>
    <s v="임대"/>
    <s v="이승희"/>
    <s v="현장-2공장"/>
    <s v="이래CS-210"/>
    <s v="주간"/>
    <s v="C/B"/>
    <x v="1"/>
    <s v="클라크"/>
    <s v="EPX25FL"/>
    <s v="EPX360FL63299959KF"/>
    <d v="2023-02-14T00:00:00"/>
    <n v="0"/>
    <m/>
    <s v="Y"/>
    <s v="케이엔엘"/>
    <d v="2023-02-28T00:00:00"/>
    <d v="2023-03-01T00:00:00"/>
    <n v="650000"/>
    <n v="31300000"/>
    <n v="72720"/>
    <s v="R012"/>
  </r>
  <r>
    <s v="CFB20-0211"/>
    <x v="2"/>
    <s v="임대"/>
    <s v="이상용"/>
    <m/>
    <s v="ZF삭스-211"/>
    <s v="주간"/>
    <s v="C/B"/>
    <x v="2"/>
    <s v="클라크"/>
    <s v="EPX20FL"/>
    <s v="EPX360FL63809959KF"/>
    <d v="2023-02-21T00:00:00"/>
    <n v="0"/>
    <m/>
    <s v="Y"/>
    <s v="엘소"/>
    <d v="2023-02-22T00:00:00"/>
    <d v="2023-02-28T00:00:00"/>
    <n v="800000"/>
    <n v="32600000"/>
    <n v="257170"/>
    <s v="R002"/>
  </r>
  <r>
    <s v="DFB20-0212"/>
    <x v="7"/>
    <s v="임대"/>
    <s v="이승희"/>
    <s v="대신 마산공장"/>
    <s v="대신-마산-212"/>
    <s v="주간"/>
    <s v="C/B"/>
    <x v="2"/>
    <s v="두산"/>
    <s v="B20X-5"/>
    <s v="B20X5-0152"/>
    <d v="2005-05-08T00:00:00"/>
    <n v="0"/>
    <m/>
    <s v="Y"/>
    <s v="케이엔엘"/>
    <d v="2023-03-15T00:00:00"/>
    <d v="2025-05-14T00:00:00"/>
    <n v="600000"/>
    <n v="14000000"/>
    <n v="36642113"/>
    <s v="R003"/>
  </r>
  <r>
    <s v="DFO30-0213"/>
    <x v="30"/>
    <s v="임대"/>
    <s v="이상용"/>
    <s v="셰플러"/>
    <s v="셰플러-213"/>
    <s v="주간"/>
    <s v="C/B"/>
    <x v="0"/>
    <s v="두산"/>
    <s v="D30SE-9"/>
    <s v="FDA2H-5122-01601"/>
    <d v="2023-03-01T00:00:00"/>
    <n v="0"/>
    <s v="004가9536"/>
    <s v="Y"/>
    <s v="엘소"/>
    <d v="2023-03-13T00:00:00"/>
    <d v="2023-03-13T00:00:00"/>
    <n v="850000"/>
    <n v="38520000"/>
    <n v="3720655"/>
    <s v="R014"/>
  </r>
  <r>
    <s v="CLB20-0214"/>
    <x v="30"/>
    <s v="임대"/>
    <s v="이상용"/>
    <s v="셰플러"/>
    <s v="셰플러-214"/>
    <s v="주간"/>
    <s v="핸드"/>
    <x v="2"/>
    <s v="클라크"/>
    <m/>
    <s v="WRX15 00608310CH"/>
    <d v="2023-03-01T00:00:00"/>
    <n v="0"/>
    <m/>
    <s v="Y"/>
    <s v="엘소"/>
    <d v="2023-03-13T00:00:00"/>
    <d v="2023-03-13T00:00:00"/>
    <n v="500000"/>
    <n v="15290000"/>
    <n v="422530"/>
    <s v="R014"/>
  </r>
  <r>
    <s v="CLB20-0215"/>
    <x v="30"/>
    <s v="임대"/>
    <s v="이상용"/>
    <s v="셰플러"/>
    <s v="셰플러-215"/>
    <s v="주간"/>
    <s v="핸드"/>
    <x v="2"/>
    <s v="클라크"/>
    <m/>
    <s v="WRX15 00488310CH"/>
    <d v="2023-03-01T00:00:00"/>
    <n v="0"/>
    <m/>
    <s v="Y"/>
    <s v="엘소"/>
    <d v="2023-03-13T00:00:00"/>
    <d v="2023-03-13T00:00:00"/>
    <n v="500000"/>
    <n v="15290000"/>
    <n v="1055100"/>
    <s v="R014"/>
  </r>
  <r>
    <s v="DFO33-0216"/>
    <x v="2"/>
    <s v="임대"/>
    <s v="이상용"/>
    <m/>
    <s v="ZF삭스-216"/>
    <s v="주간"/>
    <s v="C/B"/>
    <x v="11"/>
    <s v="두산"/>
    <s v="D33SE-9"/>
    <s v="FDA2J-5122-00256"/>
    <d v="2023-01-01T00:00:00"/>
    <n v="0"/>
    <s v="004가9541"/>
    <s v="Y"/>
    <s v="엘소"/>
    <d v="2023-04-01T00:00:00"/>
    <d v="2023-04-01T00:00:00"/>
    <n v="870000"/>
    <n v="42370000"/>
    <n v="3628220"/>
    <s v="R002"/>
  </r>
  <r>
    <s v="DFO33-0217"/>
    <x v="2"/>
    <s v="임대"/>
    <s v="이상용"/>
    <m/>
    <s v="ZF삭스-217"/>
    <s v="주간"/>
    <s v="C/B"/>
    <x v="11"/>
    <s v="두산"/>
    <s v="D33SE-9"/>
    <s v="FDA2J-5122-00255"/>
    <d v="2023-01-01T00:00:00"/>
    <n v="0"/>
    <s v="004가9542"/>
    <s v="Y"/>
    <s v="엘소"/>
    <d v="2023-04-01T00:00:00"/>
    <d v="2023-04-01T00:00:00"/>
    <n v="870000"/>
    <n v="42370000"/>
    <n v="4459330"/>
    <s v="R002"/>
  </r>
  <r>
    <s v="DFOA6-0218"/>
    <x v="13"/>
    <s v="임대"/>
    <s v="이승희"/>
    <s v="녹산공장"/>
    <s v="대한제강-218"/>
    <s v="주간"/>
    <s v="C/B"/>
    <x v="8"/>
    <s v="두산"/>
    <s v="D160S-9"/>
    <s v="FDC0H-5107-00049"/>
    <d v="2023-01-01T00:00:00"/>
    <n v="0"/>
    <s v="004나6211"/>
    <s v="Y"/>
    <s v="케이엔엘"/>
    <d v="2023-04-01T00:00:00"/>
    <d v="2023-04-01T00:00:00"/>
    <n v="6000000"/>
    <n v="161600000"/>
    <n v="46766340"/>
    <s v="R007"/>
  </r>
  <r>
    <s v="DFO45-0219"/>
    <x v="34"/>
    <s v="임대"/>
    <s v="이승희"/>
    <s v="출하"/>
    <s v="세아항공-219"/>
    <s v="주간"/>
    <s v="C/B"/>
    <x v="13"/>
    <s v="두산"/>
    <s v="D45SE-9"/>
    <s v="FDB43-5110-00659"/>
    <d v="2023-01-01T00:00:00"/>
    <n v="0"/>
    <s v="004나6210"/>
    <s v="Y"/>
    <s v="케이엔엘"/>
    <d v="2023-04-10T00:00:00"/>
    <d v="2023-04-10T00:00:00"/>
    <n v="1450000"/>
    <n v="58260000"/>
    <n v="8800390"/>
    <s v="R011"/>
  </r>
  <r>
    <s v="DFO70-0220"/>
    <x v="34"/>
    <s v="임대"/>
    <s v="이승희"/>
    <s v="압출"/>
    <s v="세아항공-220"/>
    <s v="주간"/>
    <s v="C/B"/>
    <x v="9"/>
    <s v="두산"/>
    <s v="D70EV-9"/>
    <s v="FDB21-5111-00630"/>
    <d v="2023-01-01T00:00:00"/>
    <n v="0"/>
    <s v="004나6209"/>
    <s v="Y"/>
    <s v="케이엔엘"/>
    <d v="2023-04-10T00:00:00"/>
    <d v="2023-04-10T00:00:00"/>
    <n v="2950000"/>
    <n v="76210000"/>
    <n v="17027813"/>
    <s v="R011"/>
  </r>
  <r>
    <s v="DFO80-0221"/>
    <x v="34"/>
    <s v="임대"/>
    <s v="이승희"/>
    <s v="주조"/>
    <s v="세아항공-221"/>
    <s v="2교대"/>
    <s v="C/B"/>
    <x v="14"/>
    <s v="두산"/>
    <s v="D80S-9"/>
    <s v="FDB22-5112-00136"/>
    <d v="2023-01-01T00:00:00"/>
    <n v="0"/>
    <s v="004나6208"/>
    <s v="Y"/>
    <s v="케이엔엘"/>
    <d v="2023-04-10T00:00:00"/>
    <d v="2023-04-10T00:00:00"/>
    <n v="2500000"/>
    <n v="87350000"/>
    <n v="13941220"/>
    <s v="R011"/>
  </r>
  <r>
    <s v="SFB15-0222"/>
    <x v="30"/>
    <s v="임대"/>
    <s v="이상용"/>
    <s v="셰플러"/>
    <s v="셰프러-222"/>
    <s v="주간"/>
    <s v="핸드"/>
    <x v="5"/>
    <s v="수성산업"/>
    <m/>
    <s v="SWR-1500L-WRCDE0008"/>
    <d v="2023-05-01T00:00:00"/>
    <n v="0"/>
    <m/>
    <s v="Y"/>
    <s v="엘소"/>
    <d v="2023-05-24T00:00:00"/>
    <d v="2023-05-24T00:00:00"/>
    <n v="480000"/>
    <n v="15300000"/>
    <n v="852480"/>
    <s v="R014"/>
  </r>
  <r>
    <s v="SFB15-0223"/>
    <x v="30"/>
    <s v="임대"/>
    <s v="이상용"/>
    <s v="셰플러"/>
    <s v="셰플러-223"/>
    <s v="주간"/>
    <s v="핸드"/>
    <x v="5"/>
    <s v="수성산업"/>
    <m/>
    <s v="SWR-1500L-WRCDE0009"/>
    <d v="2023-05-01T00:00:00"/>
    <n v="0"/>
    <m/>
    <s v="Y"/>
    <s v="엘소"/>
    <d v="2023-05-24T00:00:00"/>
    <d v="2023-05-24T00:00:00"/>
    <n v="480000"/>
    <n v="15300000"/>
    <m/>
    <s v="R014"/>
  </r>
  <r>
    <s v="SFB15-0224"/>
    <x v="30"/>
    <s v="임대"/>
    <s v="이상용"/>
    <s v="셰플러"/>
    <s v="셰플러-224"/>
    <s v="주간"/>
    <s v="핸드"/>
    <x v="5"/>
    <s v="수성산업"/>
    <m/>
    <s v="SWR-1500L-WRCDE0010"/>
    <d v="2023-05-01T00:00:00"/>
    <n v="0"/>
    <m/>
    <s v="Y"/>
    <s v="엘소"/>
    <d v="2023-05-24T00:00:00"/>
    <d v="2023-05-24T00:00:00"/>
    <n v="480000"/>
    <n v="15300000"/>
    <n v="200000"/>
    <s v="R014"/>
  </r>
  <r>
    <s v="CFB50-0225"/>
    <x v="33"/>
    <s v="임대"/>
    <s v="최수진"/>
    <s v="중형 하부 상/하판"/>
    <s v="볼보-225"/>
    <s v="주간"/>
    <s v="C/B"/>
    <x v="7"/>
    <s v="클라크"/>
    <s v="GEX50"/>
    <s v="GEX450-0805-9868 KF"/>
    <d v="2023-01-01T00:00:00"/>
    <n v="0"/>
    <m/>
    <s v="Y"/>
    <s v="디에스엘"/>
    <d v="2023-06-09T00:00:00"/>
    <d v="2023-06-02T00:00:00"/>
    <n v="2000000"/>
    <n v="65100000"/>
    <n v="550000"/>
    <s v="R026"/>
  </r>
  <r>
    <s v="CRB25-0226"/>
    <x v="33"/>
    <s v="임대"/>
    <s v="최수진"/>
    <s v="중형 BOOM KIT 투입"/>
    <s v="볼보-226"/>
    <s v="주간"/>
    <s v="입식"/>
    <x v="1"/>
    <s v="클라크"/>
    <s v="CRX25FL"/>
    <s v="CRX205-4242-9957 KF"/>
    <d v="2023-01-01T00:00:00"/>
    <n v="0"/>
    <m/>
    <s v="Y"/>
    <s v="디에스엘"/>
    <d v="2023-06-09T00:00:00"/>
    <d v="2023-06-09T00:00:00"/>
    <n v="950000"/>
    <n v="25800000"/>
    <m/>
    <s v="R026"/>
  </r>
  <r>
    <s v="CRB25-0227"/>
    <x v="33"/>
    <s v="임대"/>
    <s v="최수진"/>
    <s v="중형 상부 Side Kit"/>
    <s v="볼보-227"/>
    <s v="주간"/>
    <s v="입식"/>
    <x v="1"/>
    <s v="클라크"/>
    <s v="CRX25FL"/>
    <s v="CRX205-4245-9957 KF"/>
    <d v="2023-01-01T00:00:00"/>
    <n v="0"/>
    <m/>
    <s v="Y"/>
    <s v="디에스엘"/>
    <d v="2023-06-09T00:00:00"/>
    <d v="2023-06-09T00:00:00"/>
    <n v="950000"/>
    <n v="25800000"/>
    <n v="7260"/>
    <s v="R026"/>
  </r>
  <r>
    <s v="CRB25-0228"/>
    <x v="33"/>
    <s v="임대"/>
    <s v="최수진"/>
    <s v="가공부 Bulk품 투입"/>
    <s v="볼보-228"/>
    <s v="주간"/>
    <s v="입식"/>
    <x v="1"/>
    <s v="클라크"/>
    <s v="CRX25FL"/>
    <s v="CRX205-4246-9957 KF"/>
    <d v="2023-01-01T00:00:00"/>
    <n v="0"/>
    <m/>
    <s v="Y"/>
    <s v="디에스엘"/>
    <d v="2023-06-09T00:00:00"/>
    <d v="2023-06-09T00:00:00"/>
    <n v="950000"/>
    <n v="25800000"/>
    <m/>
    <s v="R026"/>
  </r>
  <r>
    <s v="CRB25-0229"/>
    <x v="33"/>
    <s v="임대"/>
    <s v="최수진"/>
    <s v="중형 상부 투입"/>
    <s v="볼보-229"/>
    <s v="주간"/>
    <s v="입식"/>
    <x v="1"/>
    <s v="클라크"/>
    <s v="CRX25FL"/>
    <s v="CRX205-4248-9957 KF"/>
    <d v="2023-01-01T00:00:00"/>
    <n v="0"/>
    <m/>
    <s v="Y"/>
    <s v="디에스엘"/>
    <d v="2023-06-09T00:00:00"/>
    <d v="2023-06-09T00:00:00"/>
    <n v="950000"/>
    <n v="25800000"/>
    <m/>
    <s v="R026"/>
  </r>
  <r>
    <s v="CRB25-0230"/>
    <x v="33"/>
    <s v="임대"/>
    <s v="최수진"/>
    <s v="대형 상, 하부 Kit 투입"/>
    <s v="볼보-230"/>
    <s v="주간"/>
    <s v="입식"/>
    <x v="1"/>
    <s v="클라크"/>
    <s v="CRX25FL"/>
    <s v="CRX205-4249-9957 KF"/>
    <d v="2023-01-01T00:00:00"/>
    <n v="0"/>
    <m/>
    <s v="Y"/>
    <s v="디에스엘"/>
    <d v="2023-06-09T00:00:00"/>
    <d v="2023-06-09T00:00:00"/>
    <n v="950000"/>
    <n v="25800000"/>
    <n v="378100"/>
    <s v="R026"/>
  </r>
  <r>
    <s v="CRB25-0231"/>
    <x v="33"/>
    <s v="임대"/>
    <s v="최수진"/>
    <s v="조립 Bulk품 Line 투입"/>
    <s v="볼보-231"/>
    <s v="주간"/>
    <s v="입식"/>
    <x v="1"/>
    <s v="클라크"/>
    <s v="CRX25FL"/>
    <s v="CRX205-4247-9957 KF"/>
    <d v="2023-01-01T00:00:00"/>
    <n v="0"/>
    <m/>
    <s v="Y"/>
    <s v="디에스엘"/>
    <d v="2023-06-09T00:00:00"/>
    <d v="2023-06-09T00:00:00"/>
    <n v="950000"/>
    <n v="25800000"/>
    <m/>
    <s v="R026"/>
  </r>
  <r>
    <s v="CRB25-0232"/>
    <x v="33"/>
    <s v="임대"/>
    <s v="최수진"/>
    <s v="중형 BOOM KIT 투입"/>
    <s v="볼보-232"/>
    <s v="주간"/>
    <s v="입식"/>
    <x v="1"/>
    <s v="클라크"/>
    <s v="CRX25FL"/>
    <s v="CRX205-4251-9957 KF"/>
    <d v="2023-01-01T00:00:00"/>
    <n v="0"/>
    <m/>
    <s v="Y"/>
    <s v="디에스엘"/>
    <d v="2023-06-09T00:00:00"/>
    <d v="2023-06-09T00:00:00"/>
    <n v="950000"/>
    <n v="25800000"/>
    <m/>
    <s v="R026"/>
  </r>
  <r>
    <s v="CRB25-0233"/>
    <x v="33"/>
    <s v="임대"/>
    <s v="최수진"/>
    <s v="대형 상부 "/>
    <s v="볼보-233"/>
    <s v="주간"/>
    <s v="입식"/>
    <x v="1"/>
    <s v="클라크"/>
    <s v="CRX25FL"/>
    <s v="CRX205-4243-9957 KF"/>
    <d v="2023-01-01T00:00:00"/>
    <n v="0"/>
    <m/>
    <s v="Y"/>
    <s v="디에스엘"/>
    <d v="2023-06-09T00:00:00"/>
    <d v="2023-06-09T00:00:00"/>
    <n v="950000"/>
    <n v="25800000"/>
    <m/>
    <s v="R026"/>
  </r>
  <r>
    <s v="CRB25-0234"/>
    <x v="33"/>
    <s v="임대"/>
    <s v="최수진"/>
    <s v="ECR Kit 투입"/>
    <s v="볼보-234"/>
    <s v="주간"/>
    <s v="입식"/>
    <x v="1"/>
    <s v="클라크"/>
    <s v="CRX25FL"/>
    <s v="CRX205-4250-9957 KF"/>
    <d v="2023-01-01T00:00:00"/>
    <n v="0"/>
    <m/>
    <s v="Y"/>
    <s v="디에스엘"/>
    <d v="2023-06-09T00:00:00"/>
    <d v="2023-06-09T00:00:00"/>
    <n v="950000"/>
    <n v="25800000"/>
    <n v="150000"/>
    <s v="R026"/>
  </r>
  <r>
    <s v="CRB25-0235"/>
    <x v="33"/>
    <s v="임대"/>
    <s v="최수진"/>
    <s v="대형 Boom KIT 투입"/>
    <s v="볼보-235"/>
    <s v="주간"/>
    <s v="입식"/>
    <x v="1"/>
    <s v="클라크"/>
    <s v="CRX25FL"/>
    <s v="CRX205-4252-9957 KF"/>
    <d v="2023-01-01T00:00:00"/>
    <n v="0"/>
    <m/>
    <s v="Y"/>
    <s v="디에스엘"/>
    <d v="2023-06-09T00:00:00"/>
    <d v="2023-06-09T00:00:00"/>
    <n v="950000"/>
    <n v="25800000"/>
    <m/>
    <s v="R026"/>
  </r>
  <r>
    <s v="CRB25-0236"/>
    <x v="33"/>
    <s v="임대"/>
    <s v="최수진"/>
    <s v="대형 상부"/>
    <s v="볼보-236"/>
    <s v="주간"/>
    <s v="입식"/>
    <x v="1"/>
    <s v="클라크"/>
    <s v="CRX25FL"/>
    <s v="CRX205-4253-9957 KF"/>
    <d v="2023-01-01T00:00:00"/>
    <n v="0"/>
    <m/>
    <s v="Y"/>
    <s v="디에스엘"/>
    <d v="2023-06-09T00:00:00"/>
    <d v="2023-06-09T00:00:00"/>
    <n v="950000"/>
    <n v="25800000"/>
    <m/>
    <s v="R026"/>
  </r>
  <r>
    <s v="CRB25-0237"/>
    <x v="33"/>
    <s v="임대"/>
    <s v="최수진"/>
    <s v="중형 상부 1차"/>
    <s v="볼보-237"/>
    <s v="주간"/>
    <s v="입식"/>
    <x v="1"/>
    <s v="클라크"/>
    <s v="CRX25FL"/>
    <s v="CRX205-4244-9957 KF"/>
    <d v="2023-01-01T00:00:00"/>
    <n v="0"/>
    <m/>
    <s v="Y"/>
    <s v="디에스엘"/>
    <d v="2023-06-09T00:00:00"/>
    <d v="2023-06-09T00:00:00"/>
    <n v="950000"/>
    <n v="25800000"/>
    <n v="25190"/>
    <s v="R026"/>
  </r>
  <r>
    <s v="DFB25-0238"/>
    <x v="35"/>
    <s v="임대"/>
    <s v="이종혁"/>
    <s v="안산셰플러"/>
    <s v="안산-238"/>
    <s v="주간"/>
    <s v="C/B"/>
    <x v="1"/>
    <s v="두산"/>
    <s v="B25SE-7"/>
    <s v="FBA36-1910-02765"/>
    <d v="2023-01-01T00:00:00"/>
    <n v="0"/>
    <m/>
    <s v="Y"/>
    <s v="엘소"/>
    <d v="2023-06-12T00:00:00"/>
    <d v="2023-06-01T00:00:00"/>
    <n v="800000"/>
    <n v="30780000"/>
    <n v="2228000"/>
    <s v="R022"/>
  </r>
  <r>
    <s v="DFB25-0239"/>
    <x v="35"/>
    <s v="임대"/>
    <s v="이종혁"/>
    <s v="안산셰플러"/>
    <s v="안산-239"/>
    <s v="주간"/>
    <s v="C/B"/>
    <x v="1"/>
    <s v="두산"/>
    <s v="B25SE-7"/>
    <s v="FBA36-1910-02766"/>
    <d v="2023-01-01T00:00:00"/>
    <n v="0"/>
    <m/>
    <s v="Y"/>
    <s v="엘소"/>
    <d v="2023-06-12T00:00:00"/>
    <d v="2023-06-01T00:00:00"/>
    <n v="800000"/>
    <n v="30780000"/>
    <n v="1870000"/>
    <s v="R022"/>
  </r>
  <r>
    <s v="DFB25-0240"/>
    <x v="35"/>
    <s v="임대"/>
    <s v="이종혁"/>
    <s v="안산셰플러"/>
    <s v="안산-240"/>
    <s v="주간"/>
    <s v="C/B"/>
    <x v="1"/>
    <s v="두산"/>
    <s v="B25SE-7"/>
    <s v="FBA36-1910-02767"/>
    <d v="2023-01-01T00:00:00"/>
    <n v="0"/>
    <m/>
    <s v="Y"/>
    <s v="엘소"/>
    <d v="2023-06-12T00:00:00"/>
    <d v="2023-06-12T00:00:00"/>
    <n v="800000"/>
    <n v="30780000"/>
    <n v="1984000"/>
    <s v="R022"/>
  </r>
  <r>
    <s v="DFB30-0241"/>
    <x v="30"/>
    <s v="임대"/>
    <s v="이상용"/>
    <s v="3공장가공반"/>
    <s v="셰플러-241"/>
    <s v="주간"/>
    <s v="C/B"/>
    <x v="0"/>
    <s v="두산"/>
    <s v="B30S-7"/>
    <s v="FBA32-1910-01648"/>
    <d v="2023-06-01T00:00:00"/>
    <n v="0"/>
    <m/>
    <s v="Y"/>
    <s v="엘소"/>
    <d v="2023-06-23T00:00:00"/>
    <d v="2023-06-23T00:00:00"/>
    <n v="1050000"/>
    <n v="42470000"/>
    <m/>
    <s v="R014"/>
  </r>
  <r>
    <s v="DFB30-0242"/>
    <x v="30"/>
    <s v="임대"/>
    <s v="이상용"/>
    <s v="2공장생연연삭"/>
    <s v="셰플러-242"/>
    <s v="주간"/>
    <s v="C/B"/>
    <x v="0"/>
    <s v="두산"/>
    <s v="B30S-7"/>
    <s v="FBA32-1910-01630"/>
    <d v="2023-06-01T00:00:00"/>
    <n v="0"/>
    <m/>
    <s v="Y"/>
    <s v="엘소"/>
    <d v="2023-06-23T00:00:00"/>
    <d v="2023-06-23T00:00:00"/>
    <n v="950000"/>
    <n v="35220000"/>
    <n v="854530"/>
    <s v="R014"/>
  </r>
  <r>
    <s v="DFB30-0243"/>
    <x v="30"/>
    <s v="임대"/>
    <s v="이상용"/>
    <s v="2공장생연연삭"/>
    <s v="셰플러-243"/>
    <s v="주간"/>
    <s v="C/B"/>
    <x v="0"/>
    <s v="두산"/>
    <s v="B30S-7"/>
    <s v="FBA32-1910-01632"/>
    <d v="2023-06-01T00:00:00"/>
    <n v="0"/>
    <m/>
    <s v="Y"/>
    <s v="엘소"/>
    <d v="2023-06-23T00:00:00"/>
    <d v="2023-06-23T00:00:00"/>
    <n v="950000"/>
    <n v="35220000"/>
    <m/>
    <s v="R014"/>
  </r>
  <r>
    <s v="DFB30-0244"/>
    <x v="30"/>
    <s v="임대"/>
    <s v="이상용"/>
    <s v="2공장생연연삭"/>
    <s v="셰플러-244"/>
    <s v="주간"/>
    <s v="C/B"/>
    <x v="0"/>
    <s v="두산"/>
    <s v="B30S-7"/>
    <s v="FBA32-1910-01634"/>
    <d v="2023-06-01T00:00:00"/>
    <n v="0"/>
    <m/>
    <s v="Y"/>
    <s v="엘소"/>
    <d v="2023-06-23T00:00:00"/>
    <d v="2023-06-23T00:00:00"/>
    <n v="950000"/>
    <n v="35220000"/>
    <m/>
    <s v="R014"/>
  </r>
  <r>
    <s v="DFB30-0245"/>
    <x v="30"/>
    <s v="임대"/>
    <s v="이상용"/>
    <s v="2공장생연연삭"/>
    <s v="셰플러-245"/>
    <s v="주간"/>
    <s v="C/B"/>
    <x v="0"/>
    <s v="두산"/>
    <s v="B30S-7"/>
    <s v="FBA32-1910-01629"/>
    <d v="2023-06-01T00:00:00"/>
    <n v="0"/>
    <m/>
    <s v="Y"/>
    <s v="엘소"/>
    <d v="2023-06-23T00:00:00"/>
    <d v="2023-06-23T00:00:00"/>
    <n v="950000"/>
    <n v="35220000"/>
    <n v="80000"/>
    <s v="R014"/>
  </r>
  <r>
    <s v="DFB30-0246"/>
    <x v="30"/>
    <s v="임대"/>
    <s v="이상용"/>
    <s v="2공장생연연삭"/>
    <s v="셰플러-246"/>
    <s v="주간"/>
    <s v="C/B"/>
    <x v="0"/>
    <s v="두산"/>
    <s v="B30S-7"/>
    <s v="FBA32-1910-01633"/>
    <d v="2023-06-01T00:00:00"/>
    <n v="0"/>
    <m/>
    <s v="Y"/>
    <s v="엘소"/>
    <d v="2023-06-23T00:00:00"/>
    <d v="2023-06-23T00:00:00"/>
    <n v="950000"/>
    <n v="35220000"/>
    <m/>
    <s v="R014"/>
  </r>
  <r>
    <s v="DFO25-0247"/>
    <x v="5"/>
    <s v="임대"/>
    <s v="이승희"/>
    <s v="디와이파워"/>
    <s v="2Y-1"/>
    <s v="주간"/>
    <s v="C/B"/>
    <x v="1"/>
    <s v="두산"/>
    <s v="D25S-7"/>
    <s v="FDA0V-2340-01004"/>
    <d v="2018-02-01T00:00:00"/>
    <n v="0"/>
    <s v="004나6224"/>
    <s v="Y"/>
    <s v="케이엔엘"/>
    <d v="2023-07-01T00:00:00"/>
    <d v="2023-07-01T00:00:00"/>
    <n v="600000"/>
    <n v="24000000"/>
    <n v="3602560"/>
    <s v="R018"/>
  </r>
  <r>
    <s v="DRB18-0248"/>
    <x v="5"/>
    <s v="임대"/>
    <s v="이승희"/>
    <s v="디와이파워"/>
    <s v="3B-1"/>
    <s v="주간"/>
    <s v="입식"/>
    <x v="3"/>
    <s v="두산"/>
    <s v="BR18S-9"/>
    <s v="FRA0T-1380-00682"/>
    <d v="2023-06-01T00:00:00"/>
    <n v="0"/>
    <m/>
    <s v="N"/>
    <s v="케이엔엘"/>
    <d v="2023-07-01T00:00:00"/>
    <d v="2023-07-01T00:00:00"/>
    <n v="400000"/>
    <n v="22840000"/>
    <m/>
    <s v="R018"/>
  </r>
  <r>
    <s v="DRB18-0249"/>
    <x v="5"/>
    <s v="임대"/>
    <s v="이승희"/>
    <s v="디와이파워"/>
    <s v="3B-3"/>
    <s v="주간"/>
    <s v="입식"/>
    <x v="3"/>
    <s v="두산"/>
    <s v="BR18S-9"/>
    <s v="FRA0T-1380-00683"/>
    <d v="2023-06-01T00:00:00"/>
    <n v="0"/>
    <m/>
    <s v="N"/>
    <s v="케이엔엘"/>
    <d v="2023-07-01T00:00:00"/>
    <d v="2023-07-01T00:00:00"/>
    <n v="400000"/>
    <n v="22840000"/>
    <m/>
    <s v="R018"/>
  </r>
  <r>
    <s v="DRB18-0250"/>
    <x v="5"/>
    <s v="임대"/>
    <s v="이승희"/>
    <s v="디와이파워"/>
    <s v="3B-8"/>
    <s v="주간"/>
    <s v="입식"/>
    <x v="3"/>
    <s v="두산"/>
    <s v="BR18S-9"/>
    <s v="FRA0T-1380-00681"/>
    <d v="2023-06-01T00:00:00"/>
    <n v="0"/>
    <m/>
    <s v="N"/>
    <s v="케이엔엘"/>
    <d v="2023-07-01T00:00:00"/>
    <d v="2023-07-01T00:00:00"/>
    <n v="400000"/>
    <n v="22840000"/>
    <n v="743750"/>
    <s v="R018"/>
  </r>
  <r>
    <s v="DRB18-0251"/>
    <x v="5"/>
    <s v="임대"/>
    <s v="이승희"/>
    <s v="디와이파워"/>
    <s v="5B-4"/>
    <s v="주간"/>
    <s v="입식"/>
    <x v="3"/>
    <s v="두산"/>
    <s v="BR18S-9"/>
    <s v="FRA0R-1380-00680"/>
    <d v="2023-06-01T00:00:00"/>
    <n v="0"/>
    <m/>
    <s v="N"/>
    <s v="케이엔엘"/>
    <d v="2023-07-01T00:00:00"/>
    <d v="2023-07-01T00:00:00"/>
    <n v="400000"/>
    <n v="22840000"/>
    <n v="44760"/>
    <s v="R018"/>
  </r>
  <r>
    <s v="DRB15-0252"/>
    <x v="5"/>
    <s v="임대"/>
    <s v="이승희"/>
    <s v="디와이파워"/>
    <s v="3B-2"/>
    <s v="주간"/>
    <s v="입식"/>
    <x v="5"/>
    <s v="두산"/>
    <s v="BR13S-9"/>
    <s v="FRA0R-1380-00127"/>
    <d v="2023-06-01T00:00:00"/>
    <n v="0"/>
    <m/>
    <s v="N"/>
    <s v="케이엔엘"/>
    <d v="2023-07-01T00:00:00"/>
    <d v="2023-07-01T00:00:00"/>
    <n v="400000"/>
    <n v="21720000"/>
    <m/>
    <s v="R018"/>
  </r>
  <r>
    <s v="DRB15-0253"/>
    <x v="5"/>
    <s v="임대"/>
    <s v="이승희"/>
    <s v="디와이파워"/>
    <s v="5B-3"/>
    <s v="주간"/>
    <s v="입식"/>
    <x v="5"/>
    <s v="두산"/>
    <s v="BR13S-9"/>
    <s v="FRA0R-1380-00128"/>
    <d v="2023-06-01T00:00:00"/>
    <n v="0"/>
    <m/>
    <s v="N"/>
    <s v="케이엔엘"/>
    <d v="2023-07-01T00:00:00"/>
    <d v="2023-07-01T00:00:00"/>
    <n v="400000"/>
    <n v="21720000"/>
    <m/>
    <s v="R018"/>
  </r>
  <r>
    <s v="CFB25-0254"/>
    <x v="5"/>
    <s v="임대"/>
    <s v="이승희"/>
    <s v="디와이파워"/>
    <s v="4B-2"/>
    <s v="주간"/>
    <s v="C/B"/>
    <x v="1"/>
    <s v="클라크"/>
    <m/>
    <s v="EPX360-0839-9837CNF"/>
    <d v="2018-02-01T00:00:00"/>
    <n v="0"/>
    <m/>
    <s v="N"/>
    <s v="케이엔엘"/>
    <d v="2023-07-01T00:00:00"/>
    <d v="2023-07-01T00:00:00"/>
    <n v="490000"/>
    <n v="21500000"/>
    <n v="5411000"/>
    <s v="R018"/>
  </r>
  <r>
    <s v="CTB15-0255"/>
    <x v="5"/>
    <s v="임대"/>
    <s v="이승희"/>
    <s v="디와이파워-2공장"/>
    <s v="2P-4"/>
    <s v="주간"/>
    <s v="핸드"/>
    <x v="5"/>
    <s v="클라크"/>
    <s v="WCP15L"/>
    <s v="WCP15L-0752-8312CM"/>
    <d v="2023-06-01T00:00:00"/>
    <n v="0"/>
    <m/>
    <s v="N"/>
    <s v="케이엔엘"/>
    <d v="2023-07-01T00:00:00"/>
    <d v="2025-03-13T00:00:00"/>
    <n v="450000"/>
    <n v="3200000"/>
    <m/>
    <s v="R018"/>
  </r>
  <r>
    <s v="TFB15-0256"/>
    <x v="10"/>
    <s v="임대"/>
    <s v="이승희"/>
    <s v="표준화공장"/>
    <s v="경남금속-256"/>
    <s v="주간"/>
    <s v="C/B"/>
    <x v="5"/>
    <s v="도요다"/>
    <m/>
    <s v="8FB18-18794"/>
    <d v="2018-12-01T00:00:00"/>
    <n v="0"/>
    <m/>
    <s v="N"/>
    <s v="케이엔엘"/>
    <d v="2023-07-01T00:00:00"/>
    <d v="2023-07-01T00:00:00"/>
    <n v="432000"/>
    <n v="13600000"/>
    <m/>
    <s v="R005"/>
  </r>
  <r>
    <s v="CFB25-0257"/>
    <x v="5"/>
    <s v="임대"/>
    <s v="이승희"/>
    <s v="디와이파워"/>
    <s v="4B-5"/>
    <s v="주간"/>
    <s v="C/B"/>
    <x v="1"/>
    <s v="클라크"/>
    <m/>
    <s v="EPX360-6697-9652KF"/>
    <d v="2016-01-01T00:00:00"/>
    <n v="0"/>
    <m/>
    <s v="N"/>
    <s v="케이엔엘"/>
    <d v="2023-07-01T00:00:00"/>
    <d v="2023-07-01T00:00:00"/>
    <n v="490000"/>
    <n v="12300000"/>
    <n v="6790110"/>
    <s v="R018"/>
  </r>
  <r>
    <s v="CFB25-0258"/>
    <x v="5"/>
    <s v="임대"/>
    <s v="이승희"/>
    <s v="디와이파워"/>
    <s v="4B-4"/>
    <s v="주간"/>
    <s v="C/B"/>
    <x v="1"/>
    <s v="클라크"/>
    <m/>
    <s v="EPX360-0277-9959KF"/>
    <d v="2014-01-01T00:00:00"/>
    <n v="0"/>
    <m/>
    <s v="N"/>
    <s v="케이엔엘"/>
    <d v="2023-07-01T00:00:00"/>
    <d v="2023-07-01T00:00:00"/>
    <n v="490000"/>
    <n v="12300000"/>
    <n v="598650"/>
    <s v="R018"/>
  </r>
  <r>
    <s v="CRB25-0259"/>
    <x v="5"/>
    <s v="임대"/>
    <s v="이승희"/>
    <s v="디와이파워"/>
    <s v="3B-5"/>
    <s v="주간"/>
    <s v="입식"/>
    <x v="1"/>
    <s v="클라크"/>
    <m/>
    <s v="CRX205-2621-9957KF"/>
    <d v="2020-01-01T00:00:00"/>
    <n v="0"/>
    <m/>
    <s v="N"/>
    <s v="케이엔엘"/>
    <d v="2023-07-01T00:00:00"/>
    <d v="2023-07-01T00:00:00"/>
    <n v="440000"/>
    <n v="17200000"/>
    <n v="1297190"/>
    <s v="R018"/>
  </r>
  <r>
    <s v="CRB25-0260"/>
    <x v="5"/>
    <s v="임대"/>
    <s v="이승희"/>
    <s v="디와이파워"/>
    <s v="3B-6"/>
    <s v="주간"/>
    <s v="입식"/>
    <x v="1"/>
    <s v="클라크"/>
    <m/>
    <s v="CRX205-2620-9957KF"/>
    <d v="2020-01-01T00:00:00"/>
    <n v="0"/>
    <m/>
    <s v="N"/>
    <s v="케이엔엘"/>
    <d v="2023-07-01T00:00:00"/>
    <d v="2023-07-01T00:00:00"/>
    <n v="440000"/>
    <n v="17200000"/>
    <n v="1416430"/>
    <s v="R018"/>
  </r>
  <r>
    <s v="CRB25-0261"/>
    <x v="5"/>
    <s v="임대"/>
    <s v="이승희"/>
    <s v="디와이파워"/>
    <s v="3B-7"/>
    <s v="주간"/>
    <s v="입식"/>
    <x v="1"/>
    <s v="클라크"/>
    <s v="CRX25"/>
    <s v="CRX205-1820-9659KF"/>
    <d v="2013-01-01T00:00:00"/>
    <n v="0"/>
    <m/>
    <s v="N"/>
    <s v="케이엔엘"/>
    <d v="2023-07-01T00:00:00"/>
    <d v="2023-07-01T00:00:00"/>
    <n v="440000"/>
    <n v="12000000"/>
    <n v="477080"/>
    <s v="R018"/>
  </r>
  <r>
    <s v="CFB30-0262"/>
    <x v="5"/>
    <s v="임대"/>
    <s v="이승희"/>
    <s v="디와이파워"/>
    <s v="1B-2"/>
    <s v="주간"/>
    <s v="C/B"/>
    <x v="0"/>
    <s v="클라크"/>
    <s v="EPX25FL"/>
    <s v="EPX360-0014-9959KF"/>
    <d v="2016-01-01T00:00:00"/>
    <n v="0"/>
    <m/>
    <s v="N"/>
    <s v="케이엔엘"/>
    <d v="2023-07-01T00:00:00"/>
    <d v="2023-07-01T00:00:00"/>
    <n v="570000"/>
    <n v="12300000"/>
    <n v="1246020"/>
    <s v="R018"/>
  </r>
  <r>
    <s v="DFO45-0263"/>
    <x v="30"/>
    <s v="임대"/>
    <s v="이상용"/>
    <s v="2공장소둔"/>
    <s v="셰플러-263"/>
    <s v="주간"/>
    <s v="C/B"/>
    <x v="13"/>
    <s v="두산"/>
    <s v="D45SE-9"/>
    <s v="FDB43-5110-00836"/>
    <d v="2023-07-01T00:00:00"/>
    <n v="0"/>
    <s v="004나6237"/>
    <s v="Y"/>
    <s v="엘소"/>
    <d v="2023-07-01T00:00:00"/>
    <d v="2023-07-01T00:00:00"/>
    <n v="1000000"/>
    <n v="54340000"/>
    <n v="582225"/>
    <s v="R014"/>
  </r>
  <r>
    <s v="LLB15-0264"/>
    <x v="36"/>
    <s v="임대"/>
    <s v="김종근"/>
    <s v="2층"/>
    <s v="예비"/>
    <s v="주간"/>
    <s v="핸드"/>
    <x v="5"/>
    <s v="티엠씨 엘앤에프"/>
    <s v="TR15E"/>
    <s v="TR15E-207108"/>
    <d v="2012-07-01T00:00:00"/>
    <n v="0"/>
    <m/>
    <s v="N"/>
    <s v="엘소창원공장(자산)"/>
    <d v="2023-08-25T00:00:00"/>
    <d v="2023-08-25T00:00:00"/>
    <n v="0"/>
    <n v="0"/>
    <m/>
    <s v="R025"/>
  </r>
  <r>
    <s v="CFO33-0265"/>
    <x v="2"/>
    <s v="임대"/>
    <s v="이상용"/>
    <s v="출하포장라인"/>
    <s v="ZF삭스-265"/>
    <s v="주간"/>
    <s v="C/B"/>
    <x v="11"/>
    <s v="클라크"/>
    <s v="GTS33H"/>
    <s v="GTS232D 0863 10058 KF"/>
    <d v="2023-09-06T00:00:00"/>
    <n v="0"/>
    <s v="004나 7973"/>
    <s v="Y"/>
    <s v="케이엔엘"/>
    <d v="2023-09-07T00:00:00"/>
    <d v="2023-09-01T00:00:00"/>
    <n v="900000"/>
    <n v="38400000"/>
    <n v="2491090"/>
    <s v="R002"/>
  </r>
  <r>
    <s v="CRB18-0266"/>
    <x v="2"/>
    <s v="임대"/>
    <s v="이상용"/>
    <s v="출하포장라인"/>
    <s v="ZF삭스-266"/>
    <s v="2교대"/>
    <s v="입식"/>
    <x v="3"/>
    <s v="클라크"/>
    <s v="CRX18FL"/>
    <s v="CRX148 4615 9956 KF"/>
    <d v="2023-09-14T00:00:00"/>
    <n v="0"/>
    <m/>
    <s v="Y"/>
    <s v="케이엔엘"/>
    <d v="2023-09-15T00:00:00"/>
    <d v="2023-09-01T00:00:00"/>
    <n v="800000"/>
    <n v="23290000"/>
    <n v="1184090"/>
    <s v="R002"/>
  </r>
  <r>
    <s v="CFB30-0267"/>
    <x v="37"/>
    <s v="임대"/>
    <s v="이승희"/>
    <s v="S&amp;T우신"/>
    <s v="우신-267"/>
    <s v="주간"/>
    <s v="C/B"/>
    <x v="0"/>
    <s v="클라크"/>
    <s v="EPX30FL"/>
    <s v="EPX360FL 69659959KF"/>
    <d v="2023-10-05T00:00:00"/>
    <n v="0"/>
    <m/>
    <s v="N"/>
    <s v="케이엔엘"/>
    <d v="2023-10-06T00:00:00"/>
    <d v="2023-10-01T00:00:00"/>
    <n v="700000"/>
    <n v="36000000"/>
    <m/>
    <s v="R001"/>
  </r>
  <r>
    <s v="CFB25-0268"/>
    <x v="23"/>
    <s v="임대"/>
    <s v="김상은"/>
    <s v="Amcor PMR Cylinder"/>
    <s v="엠코-268"/>
    <s v="주간"/>
    <s v="C/B"/>
    <x v="1"/>
    <s v="클라크"/>
    <s v="EPX25FL"/>
    <s v="EPX360FL 68789959KF"/>
    <d v="2023-09-01T00:00:00"/>
    <n v="0"/>
    <m/>
    <s v="Y"/>
    <s v="케이엔엘"/>
    <d v="2023-09-01T00:00:00"/>
    <d v="2023-09-01T00:00:00"/>
    <n v="850000"/>
    <n v="34230000"/>
    <n v="392010"/>
    <s v="R016"/>
  </r>
  <r>
    <s v="SFB10-0269"/>
    <x v="23"/>
    <s v="임대"/>
    <s v="김상은"/>
    <s v="엠코 PMR실린더"/>
    <s v="엠코-269"/>
    <s v="2교대"/>
    <s v="핸드"/>
    <x v="6"/>
    <s v="수성산업"/>
    <s v="SWC-1000L"/>
    <s v="WCCDH0001"/>
    <d v="2023-08-01T00:00:00"/>
    <n v="0"/>
    <m/>
    <s v="N"/>
    <s v="케이엔엘"/>
    <d v="2023-10-01T00:00:00"/>
    <d v="2023-10-01T00:00:00"/>
    <n v="400000"/>
    <n v="12900000"/>
    <m/>
    <s v="R016"/>
  </r>
  <r>
    <s v="SFB13-0270"/>
    <x v="23"/>
    <s v="임대"/>
    <s v="김상은"/>
    <s v="엠코 PMR실린더"/>
    <s v="엠코-270"/>
    <s v="2교대"/>
    <s v="핸드"/>
    <x v="15"/>
    <s v="수성산업"/>
    <s v="SWR-1300L(특)"/>
    <s v="WRCDH0010"/>
    <d v="2023-09-01T00:00:00"/>
    <n v="0"/>
    <m/>
    <s v="N"/>
    <s v="케이엔엘"/>
    <d v="2023-10-01T00:00:00"/>
    <d v="2023-10-01T00:00:00"/>
    <n v="400000"/>
    <n v="14150000"/>
    <n v="23460"/>
    <s v="R016"/>
  </r>
  <r>
    <s v="SFB20-0271"/>
    <x v="23"/>
    <s v="임대"/>
    <s v="김상은"/>
    <s v="엠코 PMR실린더"/>
    <s v="엠코-271"/>
    <s v="2교대"/>
    <s v="핸드"/>
    <x v="2"/>
    <s v="수성산업"/>
    <s v="SWP-2000(특)"/>
    <s v="WPCDH0030"/>
    <d v="2023-09-01T00:00:00"/>
    <n v="0"/>
    <m/>
    <s v="N"/>
    <s v="케이엔엘"/>
    <d v="2023-10-01T00:00:00"/>
    <d v="2023-10-01T00:00:00"/>
    <n v="300000"/>
    <n v="8400000"/>
    <n v="33000"/>
    <s v="R016"/>
  </r>
  <r>
    <s v="SFB20-0272"/>
    <x v="23"/>
    <s v="임대"/>
    <s v="김상은"/>
    <s v="엠코 PMR실린더"/>
    <s v="엠코-272"/>
    <s v="2교대"/>
    <s v="핸드"/>
    <x v="2"/>
    <s v="수성산업"/>
    <s v="SWP-2000(특)"/>
    <s v="WPCDH0031"/>
    <d v="2023-09-01T00:00:00"/>
    <n v="0"/>
    <m/>
    <s v="N"/>
    <s v="케이엔엘"/>
    <d v="2023-10-01T00:00:00"/>
    <d v="2023-10-01T00:00:00"/>
    <n v="300000"/>
    <n v="8400000"/>
    <m/>
    <s v="R016"/>
  </r>
  <r>
    <s v="SFB25-0273"/>
    <x v="23"/>
    <s v="임대"/>
    <s v="김상은"/>
    <s v="엠코 PMR실린더"/>
    <s v="엠코-273"/>
    <s v="2교대"/>
    <s v="핸드"/>
    <x v="1"/>
    <s v="수성산업"/>
    <s v="SWP-2500(특)"/>
    <s v="WPCDG0044"/>
    <d v="2023-09-01T00:00:00"/>
    <n v="0"/>
    <m/>
    <s v="N"/>
    <s v="케이엔엘"/>
    <d v="2023-11-01T00:00:00"/>
    <d v="2023-11-01T00:00:00"/>
    <n v="300000"/>
    <n v="9700000"/>
    <m/>
    <s v="R016"/>
  </r>
  <r>
    <s v="SFB15-0274"/>
    <x v="30"/>
    <s v="임대"/>
    <s v="이상용"/>
    <s v="B/B 열처리"/>
    <s v="셰플러-274"/>
    <s v="주간"/>
    <s v="핸드"/>
    <x v="5"/>
    <s v="수성산업"/>
    <s v="6NWR-15LAE"/>
    <s v="WRCDJ0022"/>
    <d v="2023-10-01T00:00:00"/>
    <n v="0"/>
    <m/>
    <s v="N"/>
    <s v="케이엔엘"/>
    <d v="2023-11-01T00:00:00"/>
    <d v="2023-11-01T00:00:00"/>
    <n v="480000"/>
    <n v="15700000"/>
    <n v="30000"/>
    <s v="R014"/>
  </r>
  <r>
    <s v="SFB15-0275"/>
    <x v="30"/>
    <s v="임대"/>
    <s v="이상용"/>
    <s v="T/B 열처리"/>
    <s v="셰플러-275"/>
    <s v="주간"/>
    <s v="핸드"/>
    <x v="5"/>
    <s v="수성산업"/>
    <s v="6NWR-15LAE"/>
    <s v="WRCDJ0023"/>
    <d v="2023-10-01T00:00:00"/>
    <n v="0"/>
    <m/>
    <s v="N"/>
    <s v="케이엔엘"/>
    <d v="2023-11-01T00:00:00"/>
    <d v="2023-11-01T00:00:00"/>
    <n v="480000"/>
    <n v="15700000"/>
    <m/>
    <s v="R014"/>
  </r>
  <r>
    <s v="SFB15-0276"/>
    <x v="30"/>
    <s v="임대"/>
    <s v="이상용"/>
    <s v="T/B 열처리"/>
    <s v="셰플러-276"/>
    <s v="주간"/>
    <s v="핸드"/>
    <x v="5"/>
    <s v="수성산업"/>
    <s v="6NWR-15LAE"/>
    <s v="WRCDJ0024"/>
    <d v="2023-10-01T00:00:00"/>
    <n v="0"/>
    <m/>
    <s v="N"/>
    <s v="케이엔엘"/>
    <d v="2023-11-01T00:00:00"/>
    <d v="2023-11-01T00:00:00"/>
    <n v="480000"/>
    <n v="15700000"/>
    <m/>
    <s v="R014"/>
  </r>
  <r>
    <s v="SFB15-0277"/>
    <x v="30"/>
    <s v="임대"/>
    <s v="이상용"/>
    <s v="T/B 연삭"/>
    <s v="셰플러-277"/>
    <s v="주간"/>
    <s v="핸드"/>
    <x v="5"/>
    <s v="수성산업"/>
    <s v="6NWR-15LAE"/>
    <s v="WRCDJ0025"/>
    <d v="2023-10-01T00:00:00"/>
    <n v="0"/>
    <m/>
    <s v="N"/>
    <s v="케이엔엘"/>
    <d v="2023-11-01T00:00:00"/>
    <d v="2023-11-01T00:00:00"/>
    <n v="480000"/>
    <n v="15700000"/>
    <m/>
    <s v="R014"/>
  </r>
  <r>
    <s v="CFB25-0278"/>
    <x v="38"/>
    <s v="임대"/>
    <s v="이승희"/>
    <s v="비엔케미컬"/>
    <s v="비엔케미컬-278"/>
    <s v="주간"/>
    <s v="좌식"/>
    <x v="1"/>
    <s v="클라크"/>
    <s v="EPX25FL"/>
    <s v="EPX360FL 70779959KF"/>
    <d v="2023-11-26T00:00:00"/>
    <n v="0"/>
    <m/>
    <s v="Y"/>
    <s v="케이엔엘"/>
    <d v="2023-11-30T00:00:00"/>
    <d v="2023-12-01T00:00:00"/>
    <n v="680000"/>
    <n v="33300000"/>
    <m/>
    <s v="R028"/>
  </r>
  <r>
    <s v="SFB15-0279"/>
    <x v="30"/>
    <s v="임대"/>
    <s v="이상용"/>
    <s v="B/B GI 공정"/>
    <s v="셰플러-279"/>
    <s v="주간"/>
    <s v="핸드"/>
    <x v="5"/>
    <s v="수성산업"/>
    <s v="SWR-1500L"/>
    <s v="WRCDL0002"/>
    <d v="2023-12-01T00:00:00"/>
    <n v="0"/>
    <m/>
    <s v="Y"/>
    <s v="케이엔엘"/>
    <d v="2023-12-15T00:00:00"/>
    <d v="2023-12-15T00:00:00"/>
    <n v="480000"/>
    <n v="15700000"/>
    <n v="10560"/>
    <s v="R014"/>
  </r>
  <r>
    <s v="CFO33-0280"/>
    <x v="25"/>
    <s v="임대"/>
    <s v="정도겸"/>
    <s v="세아에샵"/>
    <s v="에샵-280"/>
    <s v="주간"/>
    <s v="C/B"/>
    <x v="11"/>
    <s v="클라크"/>
    <s v="GTS33D"/>
    <s v="GTS232D06149819KF"/>
    <d v="2012-04-01T00:00:00"/>
    <n v="8135"/>
    <s v="004다 6504"/>
    <s v="N"/>
    <s v="케이엔엘"/>
    <d v="2024-01-01T00:00:00"/>
    <d v="2025-01-17T00:00:00"/>
    <n v="850000"/>
    <n v="7500000"/>
    <n v="1723840"/>
    <s v="R023"/>
  </r>
  <r>
    <s v="CFO30-0281"/>
    <x v="39"/>
    <s v="임대"/>
    <s v="손화나"/>
    <s v="코렌스 모락스 창고"/>
    <s v="코렌스-281"/>
    <s v="주간"/>
    <s v="C/B"/>
    <x v="0"/>
    <s v="클라크"/>
    <s v="GTS30D"/>
    <s v="GTS232D01819819KF"/>
    <d v="2011-03-01T00:00:00"/>
    <n v="0"/>
    <s v="004다 6505"/>
    <s v="Y"/>
    <s v="케이엔엘"/>
    <d v="2024-01-01T00:00:00"/>
    <d v="2024-03-04T00:00:00"/>
    <n v="670000"/>
    <n v="19433000"/>
    <n v="14108298"/>
    <s v="R034"/>
  </r>
  <r>
    <s v="CFB25-0282"/>
    <x v="20"/>
    <s v="임대"/>
    <s v="손화나"/>
    <s v="제1공장"/>
    <s v="오페-282"/>
    <s v="주간"/>
    <s v="입식"/>
    <x v="1"/>
    <s v="클라크"/>
    <s v="FX253BR"/>
    <s v="FB230R-0012-3110RKF"/>
    <d v="1998-01-01T00:00:00"/>
    <n v="17852"/>
    <m/>
    <s v="N"/>
    <s v="케이엔엘"/>
    <d v="2024-01-01T00:00:00"/>
    <d v="2025-02-01T00:00:00"/>
    <n v="400000"/>
    <n v="1300000"/>
    <n v="524032"/>
    <s v="R036"/>
  </r>
  <r>
    <s v="CFB25-0283"/>
    <x v="17"/>
    <s v="임대"/>
    <s v="이승희"/>
    <s v="CYL포장(산호수출)"/>
    <s v="산호수출포장-283"/>
    <s v="주간"/>
    <s v="입식"/>
    <x v="1"/>
    <s v="클라크"/>
    <s v="CRX25"/>
    <s v="CRX205-0367-9659-KF"/>
    <d v="2007-01-01T00:00:00"/>
    <n v="8010"/>
    <m/>
    <s v="Y"/>
    <s v="케이엔엘"/>
    <d v="2024-01-01T00:00:00"/>
    <d v="2024-04-01T00:00:00"/>
    <n v="850000"/>
    <n v="3097000"/>
    <n v="1890922"/>
    <s v="R010"/>
  </r>
  <r>
    <s v="CFB25-0284"/>
    <x v="4"/>
    <s v="임대"/>
    <s v="김종근"/>
    <s v="엘소창원공장"/>
    <s v="예비-284"/>
    <s v="주간"/>
    <s v="입식"/>
    <x v="1"/>
    <s v="클라크"/>
    <s v="CER25"/>
    <s v="CER205-0501-9567KF"/>
    <d v="2003-02-07T00:00:00"/>
    <n v="0"/>
    <m/>
    <s v="N"/>
    <s v="케이엔엘"/>
    <d v="2004-01-01T00:00:00"/>
    <d v="2024-03-01T00:00:00"/>
    <n v="0"/>
    <n v="1300000"/>
    <n v="640672"/>
    <s v="R031"/>
  </r>
  <r>
    <s v="CFB25-0285"/>
    <x v="4"/>
    <s v="임대"/>
    <s v="김종근"/>
    <s v="엘소창원공장"/>
    <s v="예비-285"/>
    <s v="주간"/>
    <s v="좌식"/>
    <x v="1"/>
    <s v="클라크"/>
    <s v="FX20B"/>
    <s v="FB230P-0032-4060RKF"/>
    <d v="1995-01-01T00:00:00"/>
    <n v="5521"/>
    <m/>
    <s v="N"/>
    <s v="케이엔엘"/>
    <d v="2024-01-01T00:00:00"/>
    <d v="2024-08-01T00:00:00"/>
    <n v="0"/>
    <n v="1300000"/>
    <n v="210672"/>
    <s v="R031"/>
  </r>
  <r>
    <s v="CFB25-0286"/>
    <x v="4"/>
    <s v="임대"/>
    <s v="김종근"/>
    <s v="엘소창원공장"/>
    <s v="예비-286"/>
    <s v="주간"/>
    <s v="입식"/>
    <x v="1"/>
    <s v="클라크"/>
    <s v="FX25BR"/>
    <s v="FX230R-0055-4100RKF"/>
    <d v="2004-01-01T00:00:00"/>
    <n v="25536"/>
    <m/>
    <s v="Y"/>
    <s v="케이엔엘"/>
    <d v="2024-01-01T00:00:00"/>
    <d v="2025-02-01T00:00:00"/>
    <n v="0"/>
    <n v="1300000"/>
    <n v="2912240"/>
    <s v="R031"/>
  </r>
  <r>
    <s v="CFB25-0287"/>
    <x v="7"/>
    <s v="임대"/>
    <s v="이승희"/>
    <s v="2공장-열처리(쇼트)"/>
    <s v="대신-마산-287"/>
    <s v="주간"/>
    <s v="입식"/>
    <x v="1"/>
    <s v="클라크"/>
    <s v="FX25BR"/>
    <s v="FX230R-0008-4060RKF"/>
    <d v="1998-01-01T00:00:00"/>
    <n v="12222"/>
    <m/>
    <s v="Y"/>
    <s v="케이엔엘"/>
    <d v="2024-01-01T00:00:00"/>
    <d v="2025-02-01T00:00:00"/>
    <n v="350000"/>
    <n v="1300000"/>
    <n v="2040672"/>
    <s v="R003"/>
  </r>
  <r>
    <s v="CFO25-0288"/>
    <x v="40"/>
    <s v="임대"/>
    <s v="손화나"/>
    <s v="CYL 완성품 출하"/>
    <s v="태성-288"/>
    <s v="주간"/>
    <s v="C/B"/>
    <x v="1"/>
    <s v="클라크"/>
    <s v="S25D"/>
    <s v="S232D 032010005KF"/>
    <d v="2018-09-01T00:00:00"/>
    <n v="0"/>
    <s v="경남04노8354"/>
    <s v="N"/>
    <s v="케이엔엘"/>
    <d v="2024-01-01T00:00:00"/>
    <d v="2024-01-01T00:00:00"/>
    <n v="750000"/>
    <n v="5000000"/>
    <n v="2397592"/>
    <s v="R030"/>
  </r>
  <r>
    <s v="CFO25-0289"/>
    <x v="40"/>
    <s v="임대"/>
    <s v="손화나"/>
    <s v="CYL 완성품 출하"/>
    <s v="태성-289"/>
    <s v="주간"/>
    <s v="C/B"/>
    <x v="1"/>
    <s v="클라크"/>
    <s v="GTS25H"/>
    <s v="GTS232D081010058KF"/>
    <d v="2023-08-01T00:00:00"/>
    <n v="0"/>
    <s v="경남04나7947"/>
    <s v="N"/>
    <s v="케이엔엘"/>
    <d v="2024-01-01T00:00:00"/>
    <d v="2024-01-01T00:00:00"/>
    <n v="750000"/>
    <n v="33000000"/>
    <n v="2301232"/>
    <s v="R030"/>
  </r>
  <r>
    <s v="CFO25-0290"/>
    <x v="40"/>
    <s v="임대"/>
    <s v="손화나"/>
    <s v="CYL 도장물류"/>
    <s v="태성-290"/>
    <s v="주간"/>
    <s v="C/B"/>
    <x v="1"/>
    <s v="클라크"/>
    <s v="GTS25DE"/>
    <s v="GTS232D15859820KF"/>
    <d v="2014-02-01T00:00:00"/>
    <n v="0"/>
    <s v="경남04노6321"/>
    <s v="N"/>
    <s v="케이엔엘"/>
    <d v="2024-01-01T00:00:00"/>
    <d v="2024-01-01T00:00:00"/>
    <n v="750000"/>
    <n v="5000000"/>
    <n v="5273872"/>
    <s v="R030"/>
  </r>
  <r>
    <s v="CFO25-0291"/>
    <x v="40"/>
    <s v="임대"/>
    <s v="손화나"/>
    <s v="CYL 완성품 출하"/>
    <s v="태성-291"/>
    <s v="주간"/>
    <s v="C/B"/>
    <x v="1"/>
    <s v="클라크"/>
    <s v="S25D"/>
    <s v="S232D 013910005KF"/>
    <d v="2018-04-01T00:00:00"/>
    <n v="0"/>
    <s v="경남04노8181"/>
    <s v="N"/>
    <s v="케이엔엘"/>
    <d v="2024-01-01T00:00:00"/>
    <d v="2024-01-01T00:00:00"/>
    <n v="750000"/>
    <n v="5000000"/>
    <n v="2473462"/>
    <s v="R030"/>
  </r>
  <r>
    <s v="CFO25-0292"/>
    <x v="40"/>
    <s v="임대"/>
    <s v="손화나"/>
    <s v="MCV 완성품 출하"/>
    <s v="태성-292"/>
    <s v="주간"/>
    <s v="C/B"/>
    <x v="1"/>
    <s v="클라크"/>
    <s v="GTS25H"/>
    <s v="GTS232D 23419999KF"/>
    <d v="2022-02-01T00:00:00"/>
    <n v="0"/>
    <s v="경남04도5544"/>
    <s v="N"/>
    <s v="케이엔엘"/>
    <d v="2024-01-01T00:00:00"/>
    <d v="2024-01-01T00:00:00"/>
    <n v="750000"/>
    <n v="22970000"/>
    <n v="3632672"/>
    <s v="R030"/>
  </r>
  <r>
    <s v="CFO25-0293"/>
    <x v="40"/>
    <s v="임대"/>
    <s v="손화나"/>
    <s v="대형실린더"/>
    <s v="태성-293"/>
    <s v="주간"/>
    <s v="C/B"/>
    <x v="1"/>
    <s v="클라크"/>
    <s v="GTS25DE"/>
    <s v="GTS232D-1587-9820KF"/>
    <d v="2014-02-01T00:00:00"/>
    <n v="0"/>
    <s v="경남04노6322"/>
    <s v="N"/>
    <s v="케이엔엘"/>
    <d v="2024-01-01T00:00:00"/>
    <d v="2024-01-01T00:00:00"/>
    <n v="800000"/>
    <n v="10101000"/>
    <n v="7074352"/>
    <s v="R030"/>
  </r>
  <r>
    <s v="CFB30-0294"/>
    <x v="30"/>
    <s v="임대"/>
    <s v="이상용"/>
    <s v="셰플러"/>
    <s v="셰플러-294"/>
    <s v="주간"/>
    <s v="C/B"/>
    <x v="0"/>
    <s v="클라크"/>
    <s v="EPX360FL"/>
    <s v="EPX360FL 72879959KF"/>
    <d v="2024-01-30T00:00:00"/>
    <n v="0"/>
    <m/>
    <s v="N"/>
    <s v="케이엔엘"/>
    <d v="2024-02-01T00:00:00"/>
    <d v="2024-02-01T00:00:00"/>
    <n v="1000000"/>
    <n v="37160000"/>
    <m/>
    <s v="R014"/>
  </r>
  <r>
    <s v="TRB15-0295"/>
    <x v="19"/>
    <s v="임대"/>
    <s v="이승희"/>
    <s v="진양"/>
    <s v="진양-295"/>
    <s v="주간"/>
    <s v="입식"/>
    <x v="5"/>
    <s v="도요다"/>
    <s v="8FBR-15"/>
    <s v="8FBR-15-11123"/>
    <d v="2018-04-01T00:00:00"/>
    <n v="3200"/>
    <m/>
    <s v="N"/>
    <s v="케이엔엘"/>
    <d v="2024-02-08T00:00:00"/>
    <d v="2024-02-08T00:00:00"/>
    <n v="700000"/>
    <n v="9800000"/>
    <n v="512000"/>
    <s v="R021"/>
  </r>
  <r>
    <s v="CRB25-0296"/>
    <x v="40"/>
    <s v="임대"/>
    <s v="손화나"/>
    <s v="조립물류"/>
    <s v="태성-296"/>
    <s v="주간"/>
    <s v="입식"/>
    <x v="1"/>
    <s v="클라크"/>
    <s v="CRX25 FL"/>
    <s v="CRX205-4651-9957 KF"/>
    <d v="2024-02-27T00:00:00"/>
    <n v="0"/>
    <m/>
    <s v="N"/>
    <s v="케이엔엘"/>
    <d v="2024-02-27T00:00:00"/>
    <d v="2024-03-01T00:00:00"/>
    <n v="820000"/>
    <n v="26260000"/>
    <n v="959300"/>
    <s v="R030"/>
  </r>
  <r>
    <s v="CRB25-0297"/>
    <x v="40"/>
    <s v="임대"/>
    <s v="손화나"/>
    <s v="ROD 물류"/>
    <s v="태성-297"/>
    <s v="주간"/>
    <s v="입식"/>
    <x v="1"/>
    <s v="클라크"/>
    <s v="CRX25 FL"/>
    <s v="CRX205-4652-9957 KF"/>
    <d v="2024-02-27T00:00:00"/>
    <n v="0"/>
    <m/>
    <s v="N"/>
    <s v="케이엔엘"/>
    <d v="2024-02-27T00:00:00"/>
    <d v="2024-03-01T00:00:00"/>
    <n v="820000"/>
    <n v="26260000"/>
    <n v="76430"/>
    <s v="R030"/>
  </r>
  <r>
    <s v="CRB25-0298"/>
    <x v="40"/>
    <s v="임대"/>
    <s v="손화나"/>
    <s v="실린더 물류"/>
    <s v="태성-298"/>
    <s v="주간"/>
    <s v="입식"/>
    <x v="1"/>
    <s v="클라크"/>
    <s v="CRX25 FL"/>
    <s v="CRX205-4653-9957 KF"/>
    <d v="2024-02-27T00:00:00"/>
    <n v="0"/>
    <m/>
    <s v="N"/>
    <s v="케이엔엘"/>
    <d v="2024-02-27T00:00:00"/>
    <d v="2024-03-01T00:00:00"/>
    <n v="820000"/>
    <n v="26260000"/>
    <n v="139300"/>
    <s v="R030"/>
  </r>
  <r>
    <s v="CRB25-0299"/>
    <x v="41"/>
    <s v="임대"/>
    <s v="손화나"/>
    <s v="MCV 부자재 이동"/>
    <s v="볼보(유압)-299"/>
    <s v="주간"/>
    <s v="입식"/>
    <x v="1"/>
    <s v="클라크"/>
    <s v="CRX25 FL"/>
    <s v="CRX205-4654-9957 KF"/>
    <d v="2024-02-27T00:00:00"/>
    <n v="0"/>
    <m/>
    <s v="N"/>
    <s v="케이엔엘"/>
    <d v="2024-02-27T00:00:00"/>
    <d v="2024-03-01T00:00:00"/>
    <n v="1090000"/>
    <n v="26260000"/>
    <n v="36300"/>
    <s v="R032"/>
  </r>
  <r>
    <s v="CFB25-0300"/>
    <x v="4"/>
    <s v="임대"/>
    <s v="김종근"/>
    <s v="엘소창원공장"/>
    <s v="예비-300"/>
    <s v="주간"/>
    <s v="입식"/>
    <x v="1"/>
    <s v="클라크"/>
    <s v="FX25BR"/>
    <s v="없음 - 보험가입 불가"/>
    <d v="1998-07-01T00:00:00"/>
    <n v="0"/>
    <m/>
    <s v="N"/>
    <s v="케이엔엘"/>
    <d v="2024-03-01T00:00:00"/>
    <d v="2024-03-01T00:00:00"/>
    <n v="0"/>
    <n v="1300000"/>
    <n v="70000"/>
    <s v="R031"/>
  </r>
  <r>
    <s v="CFB25-0301"/>
    <x v="21"/>
    <s v="임대"/>
    <s v="이승희"/>
    <s v="외부-2공장"/>
    <s v="이래CS-301"/>
    <s v="주간"/>
    <s v="C/B"/>
    <x v="1"/>
    <s v="클라크"/>
    <s v="EPX25FL"/>
    <s v="EPX360FL-7485-9959KF"/>
    <d v="2024-04-22T00:00:00"/>
    <n v="0"/>
    <m/>
    <s v="N"/>
    <s v="케이엔엘"/>
    <d v="2024-04-30T00:00:00"/>
    <d v="2024-05-01T00:00:00"/>
    <n v="650000"/>
    <n v="30230000"/>
    <m/>
    <s v="R013"/>
  </r>
  <r>
    <s v="CFB25-0302"/>
    <x v="21"/>
    <s v="임대"/>
    <s v="이승희"/>
    <s v="납촉-2공장"/>
    <s v="이래CS-302"/>
    <s v="주간"/>
    <s v="C/B"/>
    <x v="1"/>
    <s v="클라크"/>
    <s v="EPX25FL"/>
    <s v="EPX360FL-7487-9959KF"/>
    <d v="2024-04-22T00:00:00"/>
    <n v="0"/>
    <m/>
    <s v="N"/>
    <s v="케이엔엘"/>
    <d v="2024-04-30T00:00:00"/>
    <d v="2024-05-01T00:00:00"/>
    <n v="650000"/>
    <n v="31480000"/>
    <m/>
    <s v="R013"/>
  </r>
  <r>
    <s v="CFB25-0303"/>
    <x v="21"/>
    <s v="임대"/>
    <s v="이승희"/>
    <s v="납촉-1공장"/>
    <s v="이래CS-303"/>
    <s v="주간"/>
    <s v="C/B"/>
    <x v="1"/>
    <s v="클라크"/>
    <s v="EPX25FL"/>
    <s v="EPX360FL-7486-9959KF"/>
    <d v="2024-04-22T00:00:00"/>
    <n v="0"/>
    <m/>
    <s v="N"/>
    <s v="케이엔엘"/>
    <d v="2024-04-30T00:00:00"/>
    <d v="2024-05-01T00:00:00"/>
    <n v="650000"/>
    <n v="30230000"/>
    <n v="23000"/>
    <s v="R013"/>
  </r>
  <r>
    <s v="CFB30-0304"/>
    <x v="17"/>
    <s v="임대"/>
    <s v="이승희"/>
    <s v="산호수출포장"/>
    <s v="산호수출포장-304"/>
    <s v="주간"/>
    <s v="C/B"/>
    <x v="0"/>
    <s v="클라크"/>
    <s v="EPX30FL"/>
    <s v="EPX360FL-7488-9959KF"/>
    <d v="2024-04-22T00:00:00"/>
    <n v="0"/>
    <m/>
    <s v="N"/>
    <s v="케이엔엘"/>
    <d v="2024-04-30T00:00:00"/>
    <d v="2024-05-01T00:00:00"/>
    <n v="900000"/>
    <n v="33550000"/>
    <n v="24610"/>
    <s v="R010"/>
  </r>
  <r>
    <s v="CFB25-0305"/>
    <x v="42"/>
    <s v="임대"/>
    <s v="손화나"/>
    <s v="범한메카텍_대성테크"/>
    <s v="대성-305"/>
    <s v="주간"/>
    <s v="C/B"/>
    <x v="1"/>
    <s v="클라크"/>
    <s v="EPX25i"/>
    <s v="EPX360i 1328 10010 CNF"/>
    <d v="2021-09-01T00:00:00"/>
    <n v="3076"/>
    <m/>
    <s v="Y"/>
    <s v="케이엔엘"/>
    <d v="2024-05-23T00:00:00"/>
    <d v="2024-06-01T00:00:00"/>
    <n v="530000"/>
    <n v="19500000"/>
    <n v="1087000"/>
    <s v="R035"/>
  </r>
  <r>
    <s v="CFB32-0306"/>
    <x v="28"/>
    <s v="임대"/>
    <s v="이승희"/>
    <s v="창원엘소"/>
    <s v="엘소-306"/>
    <s v="주간"/>
    <s v="C/B"/>
    <x v="16"/>
    <s v="클라크"/>
    <s v="EPX32"/>
    <s v="EPX360 3449 9652 KF"/>
    <d v="2010-01-01T00:00:00"/>
    <n v="0"/>
    <m/>
    <s v="Y"/>
    <s v="케이엔엘"/>
    <d v="2024-05-30T00:00:00"/>
    <d v="2024-06-01T00:00:00"/>
    <n v="700000"/>
    <n v="13000000"/>
    <n v="1356000"/>
    <s v="R019"/>
  </r>
  <r>
    <s v="DFB25-0307"/>
    <x v="27"/>
    <s v="임대"/>
    <s v="고민서"/>
    <s v="플라스틱옴니엄"/>
    <s v="옴니엄-307"/>
    <s v="주간"/>
    <s v="좌식"/>
    <x v="1"/>
    <s v="두산"/>
    <s v="B25S-5"/>
    <s v="FBA08-1910-05501"/>
    <d v="2017-01-01T00:00:00"/>
    <n v="0"/>
    <m/>
    <s v="Y"/>
    <s v="케이엔엘"/>
    <d v="2024-05-31T00:00:00"/>
    <d v="2024-06-01T00:00:00"/>
    <n v="755000"/>
    <n v="12300000"/>
    <n v="6245340"/>
    <s v="R037"/>
  </r>
  <r>
    <s v="DFB25-0308"/>
    <x v="27"/>
    <s v="임대"/>
    <s v="고민서"/>
    <s v="플라스틱옴니엄"/>
    <s v="옴니엄-308"/>
    <s v="주간"/>
    <s v="좌식"/>
    <x v="1"/>
    <s v="두산"/>
    <s v="B25S-5"/>
    <s v="FBA08-1910-05502"/>
    <d v="2017-01-01T00:00:00"/>
    <n v="0"/>
    <m/>
    <s v="Y"/>
    <s v="케이엔엘"/>
    <d v="2024-05-31T00:00:00"/>
    <d v="2024-06-01T00:00:00"/>
    <n v="755000"/>
    <n v="13800000"/>
    <n v="2009230"/>
    <s v="R037"/>
  </r>
  <r>
    <s v="DFB25-0309"/>
    <x v="27"/>
    <s v="임대"/>
    <s v="고민서"/>
    <s v="플라스틱옴니엄"/>
    <s v="옴니엄-309"/>
    <s v="주간"/>
    <s v="좌식"/>
    <x v="1"/>
    <s v="두산"/>
    <s v="B25S-5"/>
    <s v="FBA08-1910-05503"/>
    <d v="2017-01-01T00:00:00"/>
    <n v="0"/>
    <m/>
    <s v="Y"/>
    <s v="케이엔엘"/>
    <d v="2024-05-31T00:00:00"/>
    <d v="2024-06-01T00:00:00"/>
    <n v="755000"/>
    <n v="9500000"/>
    <n v="2111994"/>
    <s v="R037"/>
  </r>
  <r>
    <s v="DFB25-0310"/>
    <x v="27"/>
    <s v="임대"/>
    <s v="고민서"/>
    <s v="플라스틱옴니엄"/>
    <s v="옴니엄-310"/>
    <s v="주간"/>
    <s v="좌식"/>
    <x v="1"/>
    <s v="두산"/>
    <s v="B25NS"/>
    <s v="FBA47-3690-00606"/>
    <d v="2021-01-01T00:00:00"/>
    <n v="0"/>
    <m/>
    <s v="Y"/>
    <s v="케이엔엘"/>
    <d v="2024-05-31T00:00:00"/>
    <d v="2024-06-01T00:00:00"/>
    <n v="755000"/>
    <n v="16000000"/>
    <n v="1225500"/>
    <s v="R037"/>
  </r>
  <r>
    <s v="DFB25-0311"/>
    <x v="4"/>
    <s v="임대"/>
    <s v="김종근"/>
    <s v="엘소창원공장"/>
    <s v="예비-311"/>
    <s v="주간"/>
    <s v="좌식"/>
    <x v="1"/>
    <s v="두산"/>
    <s v="B25S-5"/>
    <s v="FBA08-1910-05899"/>
    <d v="2018-01-01T00:00:00"/>
    <n v="0"/>
    <m/>
    <s v="N"/>
    <s v="케이엔엘"/>
    <d v="2024-05-31T00:00:00"/>
    <d v="2025-05-01T00:00:00"/>
    <n v="0"/>
    <n v="11600000"/>
    <n v="1679770"/>
    <s v="R031"/>
  </r>
  <r>
    <s v="DFB25-0312"/>
    <x v="27"/>
    <s v="임대"/>
    <s v="고민서"/>
    <s v="플라스틱옴니엄"/>
    <s v="옴니엄-312"/>
    <s v="주간"/>
    <s v="좌식"/>
    <x v="1"/>
    <s v="두산"/>
    <s v="B25S-5"/>
    <s v="FBA08-1910-04518"/>
    <d v="2018-01-01T00:00:00"/>
    <n v="0"/>
    <m/>
    <s v="Y"/>
    <s v="케이엔엘"/>
    <d v="2024-05-31T00:00:00"/>
    <d v="2024-06-01T00:00:00"/>
    <n v="755000"/>
    <n v="12400000"/>
    <n v="648340"/>
    <s v="R037"/>
  </r>
  <r>
    <s v="NFB10-0313"/>
    <x v="27"/>
    <s v="임대"/>
    <s v="고민서"/>
    <s v="플라스틱옴니엄"/>
    <s v="옴니엄-313"/>
    <s v="주간"/>
    <s v="입식"/>
    <x v="6"/>
    <s v="니찌우"/>
    <s v="FBRION-80"/>
    <s v="FBR10N-80"/>
    <d v="2020-01-01T00:00:00"/>
    <n v="0"/>
    <m/>
    <s v="Y"/>
    <s v="케이엔엘"/>
    <d v="2024-05-31T00:00:00"/>
    <d v="2024-06-01T00:00:00"/>
    <n v="755000"/>
    <n v="4400000"/>
    <n v="2238000"/>
    <s v="R037"/>
  </r>
  <r>
    <s v="LFB15-0314"/>
    <x v="30"/>
    <s v="임대"/>
    <s v="이상용"/>
    <s v="셰플러1공장 볼대형 연삭"/>
    <s v="셰플러-314"/>
    <s v="2교대"/>
    <s v="핸드"/>
    <x v="5"/>
    <s v="티엠씨 엘앤에프"/>
    <s v="TR15R"/>
    <s v="TR15R-2405203"/>
    <d v="2024-05-10T00:00:00"/>
    <n v="0"/>
    <m/>
    <s v="N"/>
    <s v="케이엔엘"/>
    <d v="2024-06-05T00:00:00"/>
    <d v="2024-06-01T00:00:00"/>
    <n v="500000"/>
    <n v="16000000"/>
    <m/>
    <s v="R014"/>
  </r>
  <r>
    <s v="CFB30-0315"/>
    <x v="19"/>
    <s v="임대"/>
    <s v="이승희"/>
    <s v="진양"/>
    <s v="진양-315"/>
    <s v="주간"/>
    <s v="C/B"/>
    <x v="0"/>
    <s v="클라크"/>
    <s v="EPX30FL"/>
    <s v="EPX360FL-7590-9959KF"/>
    <d v="2024-06-11T00:00:00"/>
    <n v="0"/>
    <m/>
    <s v="Y"/>
    <s v="케이엔엘"/>
    <d v="2024-06-11T00:00:00"/>
    <d v="2024-07-01T00:00:00"/>
    <n v="800000"/>
    <n v="35530000"/>
    <n v="67540"/>
    <s v="R021"/>
  </r>
  <r>
    <s v="CFB25-0316"/>
    <x v="30"/>
    <s v="임대"/>
    <s v="이상용"/>
    <s v="1MU B/B조립(대형)"/>
    <s v="셰플러-316"/>
    <s v="주간"/>
    <s v="C/B"/>
    <x v="1"/>
    <s v="클라크"/>
    <s v="EPX25I"/>
    <s v="EPX360I-1802-10010 CNF"/>
    <d v="2024-06-18T00:00:00"/>
    <n v="0"/>
    <m/>
    <s v="Y"/>
    <s v="케이엔엘"/>
    <d v="2024-06-18T00:00:00"/>
    <d v="2024-07-01T00:00:00"/>
    <n v="850000"/>
    <n v="29650000"/>
    <n v="2414000"/>
    <s v="R014"/>
  </r>
  <r>
    <s v="CFB30-0317"/>
    <x v="18"/>
    <s v="임대"/>
    <s v="이승희"/>
    <s v="외부-2공장"/>
    <s v="이래CS-317"/>
    <s v="주간"/>
    <s v="C/B"/>
    <x v="0"/>
    <s v="클라크"/>
    <s v="EPX30I"/>
    <s v="EPX360I-1745-10010CNF"/>
    <d v="2024-06-19T00:00:00"/>
    <n v="0"/>
    <m/>
    <s v="Y"/>
    <s v="케이엔엘"/>
    <d v="2024-06-21T00:00:00"/>
    <d v="2024-07-01T00:00:00"/>
    <n v="650000"/>
    <n v="29950000"/>
    <n v="2405700"/>
    <s v="R012"/>
  </r>
  <r>
    <s v="CFB25-0318"/>
    <x v="19"/>
    <s v="임대"/>
    <s v="이승희"/>
    <s v="진양"/>
    <s v="진양-318"/>
    <s v="주간"/>
    <s v="C/B"/>
    <x v="1"/>
    <s v="클라크"/>
    <s v="EPX25FL"/>
    <s v="EPX360FL-7474-9959FL"/>
    <d v="2024-06-18T00:00:00"/>
    <n v="0"/>
    <m/>
    <s v="Y"/>
    <s v="케이엔엘"/>
    <d v="2024-06-21T00:00:00"/>
    <d v="2024-07-01T00:00:00"/>
    <n v="1100000"/>
    <n v="29980000"/>
    <n v="789150"/>
    <s v="R021"/>
  </r>
  <r>
    <s v="CFB25-0319"/>
    <x v="19"/>
    <s v="임대"/>
    <s v="이승희"/>
    <s v="진양"/>
    <s v="진양-319"/>
    <s v="주간"/>
    <s v="C/B"/>
    <x v="1"/>
    <s v="클라크"/>
    <s v="EPX25FL"/>
    <s v="EPX360FL-7475-9959KF"/>
    <d v="2024-06-18T00:00:00"/>
    <n v="0"/>
    <m/>
    <s v="Y"/>
    <s v="케이엔엘"/>
    <d v="2024-06-21T00:00:00"/>
    <d v="2024-07-01T00:00:00"/>
    <n v="700000"/>
    <n v="30500000"/>
    <n v="609200"/>
    <s v="R021"/>
  </r>
  <r>
    <s v="LRB13-0320"/>
    <x v="30"/>
    <s v="임대"/>
    <s v="이상용"/>
    <s v="2MU T/B 자재보급"/>
    <s v="셰플러-320"/>
    <s v="주간"/>
    <s v="핸드"/>
    <x v="15"/>
    <s v="티엠씨 엘앤에프"/>
    <s v="TR13R"/>
    <s v="TR13R-2406205"/>
    <d v="2024-06-20T00:00:00"/>
    <n v="0"/>
    <m/>
    <s v="Y"/>
    <s v="케이엔엘"/>
    <d v="2024-06-25T00:00:00"/>
    <d v="2024-07-01T00:00:00"/>
    <n v="480000"/>
    <n v="14800000"/>
    <m/>
    <s v="R014"/>
  </r>
  <r>
    <s v="CFB30-0321"/>
    <x v="4"/>
    <s v="임대"/>
    <s v="김종근"/>
    <s v="엘소창원공장"/>
    <s v="예비-321"/>
    <s v="주간"/>
    <s v="좌식"/>
    <x v="0"/>
    <s v="클라크"/>
    <s v="EPG30"/>
    <s v="EPG358-0129-9579KF"/>
    <d v="2004-02-01T00:00:00"/>
    <n v="6956"/>
    <s v="004다 8272"/>
    <s v="N"/>
    <s v="케이엔엘"/>
    <d v="2024-07-01T00:00:00"/>
    <d v="2025-04-02T00:00:00"/>
    <n v="0"/>
    <n v="3300000"/>
    <n v="8015640"/>
    <s v="R031"/>
  </r>
  <r>
    <s v="CFB30-0322"/>
    <x v="42"/>
    <s v="임대"/>
    <s v="손화나"/>
    <s v="범한메카텍_대성테크"/>
    <s v="대성-322"/>
    <s v="주간"/>
    <s v="좌식"/>
    <x v="0"/>
    <s v="클라크"/>
    <s v="EPX30"/>
    <s v="EPX360-4063-9652KF"/>
    <d v="2011-04-01T00:00:00"/>
    <n v="8514"/>
    <m/>
    <s v="Y"/>
    <s v="케이엔엘"/>
    <d v="2024-07-01T00:00:00"/>
    <d v="2024-07-17T00:00:00"/>
    <n v="600000"/>
    <n v="5500000"/>
    <n v="3842650"/>
    <s v="R035"/>
  </r>
  <r>
    <s v="CFB15-0323"/>
    <x v="6"/>
    <s v="임대"/>
    <s v="손화나"/>
    <s v="베스텍"/>
    <s v="베스텍-323"/>
    <s v="주간"/>
    <s v="입식"/>
    <x v="5"/>
    <s v="클라크"/>
    <s v="CRX15"/>
    <s v="CRX148-0350-9658KF"/>
    <d v="2007-12-01T00:00:00"/>
    <n v="9104"/>
    <m/>
    <s v="N"/>
    <s v="케이엔엘"/>
    <d v="2024-07-01T00:00:00"/>
    <d v="2024-11-01T00:00:00"/>
    <n v="450000"/>
    <n v="3000000"/>
    <n v="5124700"/>
    <s v="R008"/>
  </r>
  <r>
    <s v="CFB20-0324"/>
    <x v="4"/>
    <s v="임대"/>
    <s v="김종근"/>
    <s v="엘소창원공장"/>
    <s v="예비-324"/>
    <s v="주간"/>
    <s v="입식"/>
    <x v="2"/>
    <s v="클라크"/>
    <s v="FX20BR"/>
    <s v="PROTO &amp; PILOT 장비일수있음"/>
    <d v="1998-07-01T00:00:00"/>
    <n v="5121"/>
    <m/>
    <s v="N"/>
    <s v="케이엔엘"/>
    <d v="2024-07-01T00:00:00"/>
    <d v="2024-07-01T00:00:00"/>
    <n v="0"/>
    <n v="1400000"/>
    <m/>
    <s v="R031"/>
  </r>
  <r>
    <s v="CFB25-0325"/>
    <x v="4"/>
    <s v="임대"/>
    <s v="김종근"/>
    <s v="엘소창원공장"/>
    <s v="예비-325"/>
    <s v="주간"/>
    <s v="입식"/>
    <x v="1"/>
    <s v="클라크"/>
    <s v="FX25BR"/>
    <s v="PROTO &amp; PILOT 장비일수있음"/>
    <d v="1998-07-01T00:00:00"/>
    <n v="7367"/>
    <m/>
    <s v="N"/>
    <s v="케이엔엘"/>
    <d v="2024-07-01T00:00:00"/>
    <d v="2024-07-01T00:00:00"/>
    <n v="0"/>
    <n v="1400000"/>
    <m/>
    <s v="R031"/>
  </r>
  <r>
    <s v="CFB25-0326"/>
    <x v="4"/>
    <s v="임대"/>
    <s v="김종근"/>
    <s v="엘소창원공장"/>
    <s v="예비-326"/>
    <s v="주간"/>
    <s v="입식"/>
    <x v="1"/>
    <s v="클라크"/>
    <s v="CER25"/>
    <s v="CER205-0725-9567KF"/>
    <d v="2005-01-01T00:00:00"/>
    <n v="0"/>
    <m/>
    <s v="N"/>
    <s v="케이엔엘"/>
    <d v="2024-07-01T00:00:00"/>
    <d v="2024-07-01T00:00:00"/>
    <n v="0"/>
    <n v="2500000"/>
    <m/>
    <s v="R031"/>
  </r>
  <r>
    <s v="CFB25-0327"/>
    <x v="4"/>
    <s v="임대"/>
    <s v="김종근"/>
    <s v="엘소창원공장"/>
    <s v="예비-327"/>
    <s v="주간"/>
    <s v="입식"/>
    <x v="1"/>
    <s v="클라크"/>
    <s v="CER25"/>
    <s v="CER205-0869-9567KF"/>
    <d v="2005-09-01T00:00:00"/>
    <n v="9902"/>
    <m/>
    <s v="N"/>
    <s v="케이엔엘"/>
    <d v="2024-07-01T00:00:00"/>
    <d v="2024-07-01T00:00:00"/>
    <n v="0"/>
    <n v="1000000"/>
    <m/>
    <s v="R031"/>
  </r>
  <r>
    <s v="CFB30-0328"/>
    <x v="43"/>
    <s v="임대"/>
    <s v="손화나"/>
    <s v="카이치코리아"/>
    <s v="카이치-328"/>
    <s v="주간"/>
    <s v="좌식"/>
    <x v="0"/>
    <s v="클라크"/>
    <s v="EPX30FL"/>
    <s v="EPX360FL 3108 9959KF"/>
    <d v="2019-11-01T00:00:00"/>
    <n v="3109"/>
    <m/>
    <s v="Y"/>
    <s v="케이엔엘"/>
    <d v="2024-08-06T00:00:00"/>
    <d v="2024-06-10T00:00:00"/>
    <n v="650000"/>
    <n v="16000000"/>
    <n v="3501130"/>
    <s v="R040"/>
  </r>
  <r>
    <s v="DFO35-0329"/>
    <x v="44"/>
    <s v="임대"/>
    <s v="이승희"/>
    <s v="B&amp;BIP"/>
    <s v="B&amp;BIP-329"/>
    <s v="주간"/>
    <s v="좌식"/>
    <x v="12"/>
    <s v="두산"/>
    <s v="D35SE-7"/>
    <s v="FDBOJ-1903-00454"/>
    <d v="2015-10-01T00:00:00"/>
    <n v="0"/>
    <s v="004다 8940"/>
    <s v="N"/>
    <s v="케이엔엘"/>
    <d v="2024-08-06T00:00:00"/>
    <d v="2024-08-12T00:00:00"/>
    <n v="700000"/>
    <n v="23291200"/>
    <n v="4478910"/>
    <s v="R029"/>
  </r>
  <r>
    <s v="DFO30-0330"/>
    <x v="45"/>
    <s v="임대"/>
    <s v="손화나"/>
    <s v="한양S&amp;C"/>
    <s v="한양-330"/>
    <s v="주간"/>
    <s v="C/B"/>
    <x v="0"/>
    <s v="두산"/>
    <s v="D30SE-7"/>
    <s v="FDAOR-2340-14731"/>
    <d v="2021-12-01T00:00:00"/>
    <n v="0"/>
    <s v="004다 8279"/>
    <s v="Y"/>
    <s v="케이엔엘"/>
    <d v="2024-08-06T00:00:00"/>
    <d v="2024-09-01T00:00:00"/>
    <n v="740000"/>
    <n v="30012200"/>
    <n v="3708580"/>
    <s v="R041"/>
  </r>
  <r>
    <s v="LLB15-0331"/>
    <x v="4"/>
    <s v="임대"/>
    <s v="김종근"/>
    <s v="엘소창원공장"/>
    <s v="예비-331"/>
    <s v="주간"/>
    <s v="리프트"/>
    <x v="5"/>
    <s v="티엠씨 엘앤에프"/>
    <s v="TR15R"/>
    <s v="TR15R-2408207"/>
    <d v="2024-08-12T00:00:00"/>
    <n v="0"/>
    <m/>
    <s v="N"/>
    <s v="케이엔엘"/>
    <d v="2024-08-16T00:00:00"/>
    <d v="2025-03-13T00:00:00"/>
    <n v="0"/>
    <n v="15000000"/>
    <m/>
    <s v="R031"/>
  </r>
  <r>
    <s v="CFB25-0332"/>
    <x v="46"/>
    <s v="임대"/>
    <s v="손화나"/>
    <s v="인천항 동드림물류센터"/>
    <s v="일본-332"/>
    <s v="주간"/>
    <s v="좌식"/>
    <x v="1"/>
    <s v="클라크"/>
    <s v="EPX25FL"/>
    <s v="EPX360FL 7723 9959KF"/>
    <d v="2024-08-26T00:00:00"/>
    <n v="0"/>
    <m/>
    <s v="Y"/>
    <s v="케이엔엘"/>
    <d v="2024-08-29T00:00:00"/>
    <d v="2024-09-01T00:00:00"/>
    <n v="858500"/>
    <n v="32920000"/>
    <m/>
    <s v="R042"/>
  </r>
  <r>
    <s v="CFB25-0333"/>
    <x v="46"/>
    <s v="임대"/>
    <s v="손화나"/>
    <s v="인천항 동드림물류센터"/>
    <s v="일본-333"/>
    <s v="주간"/>
    <s v="입식"/>
    <x v="1"/>
    <s v="클라크"/>
    <s v="CRX25FL"/>
    <s v="CRX205 4897 9957KF"/>
    <d v="2024-08-26T00:00:00"/>
    <n v="0"/>
    <m/>
    <s v="Y"/>
    <s v="케이엔엘"/>
    <d v="2024-08-29T00:00:00"/>
    <d v="2024-09-01T00:00:00"/>
    <n v="798500"/>
    <n v="30200000"/>
    <m/>
    <s v="R042"/>
  </r>
  <r>
    <s v="CFB25-0334"/>
    <x v="46"/>
    <s v="임대"/>
    <s v="손화나"/>
    <s v="인천항 동드림물류센터"/>
    <s v="일본-334"/>
    <s v="주간"/>
    <s v="입식"/>
    <x v="1"/>
    <s v="클라크"/>
    <s v="CRX25FL"/>
    <s v="CRX205 4898 9957KF"/>
    <d v="2024-08-26T00:00:00"/>
    <n v="0"/>
    <m/>
    <s v="Y"/>
    <s v="케이엔엘"/>
    <d v="2024-08-29T00:00:00"/>
    <d v="2024-09-01T00:00:00"/>
    <n v="798500"/>
    <n v="30200000"/>
    <m/>
    <s v="R042"/>
  </r>
  <r>
    <s v="CFB25-0335"/>
    <x v="32"/>
    <s v="임대"/>
    <s v="손화나"/>
    <s v="SNT다이내믹스"/>
    <s v="SNT-335"/>
    <s v="주간"/>
    <s v="입식"/>
    <x v="1"/>
    <s v="클라크"/>
    <s v="CRX25FL"/>
    <s v="CRX205-0226-9957KF"/>
    <d v="2015-10-01T00:00:00"/>
    <n v="2267"/>
    <m/>
    <s v="Y"/>
    <s v="케이엔엘"/>
    <d v="2024-10-07T00:00:00"/>
    <d v="2024-10-01T00:00:00"/>
    <n v="430000"/>
    <n v="14300000"/>
    <n v="2643000"/>
    <s v="R038"/>
  </r>
  <r>
    <s v="LTB60-0336"/>
    <x v="30"/>
    <s v="임대"/>
    <s v="이상용"/>
    <s v="B/B 열처리"/>
    <s v="셰플러-336"/>
    <s v="2교대"/>
    <s v="좌식"/>
    <x v="17"/>
    <s v="티엠씨 엘앤에프"/>
    <s v="TT150XQ"/>
    <s v="TT150XQ-24102190"/>
    <d v="2024-10-08T00:00:00"/>
    <n v="0"/>
    <m/>
    <s v="Y"/>
    <s v="케이엔엘"/>
    <d v="2024-10-21T00:00:00"/>
    <d v="2024-10-14T00:00:00"/>
    <n v="652000"/>
    <n v="14600000"/>
    <m/>
    <s v="R014"/>
  </r>
  <r>
    <s v="LTB60-0337"/>
    <x v="30"/>
    <s v="임대"/>
    <s v="이상용"/>
    <s v="T/B 열처리 공정"/>
    <s v="셰플러-337"/>
    <s v="2교대"/>
    <s v="좌식"/>
    <x v="17"/>
    <s v="티엠씨 엘앤에프"/>
    <s v="TT150XQ"/>
    <s v="TT150XQ-24102191"/>
    <d v="2024-10-08T00:00:00"/>
    <n v="0"/>
    <m/>
    <s v="Y"/>
    <s v="케이엔엘"/>
    <d v="2024-10-21T00:00:00"/>
    <d v="2024-10-14T00:00:00"/>
    <n v="652000"/>
    <n v="14600000"/>
    <m/>
    <s v="R014"/>
  </r>
  <r>
    <s v="LTB60-0338"/>
    <x v="30"/>
    <s v="임대"/>
    <s v="이상용"/>
    <s v="조달물류"/>
    <s v="셰플러-338"/>
    <s v="2교대"/>
    <s v="좌식"/>
    <x v="17"/>
    <s v="티엠씨 엘앤에프"/>
    <s v="TT150XQ"/>
    <s v="TT150XQ-24102195"/>
    <d v="2024-10-30T00:00:00"/>
    <n v="0"/>
    <m/>
    <s v="Y"/>
    <s v="케이엔엘"/>
    <d v="2024-10-30T00:00:00"/>
    <d v="2024-11-01T00:00:00"/>
    <n v="622000"/>
    <n v="14600000"/>
    <m/>
    <s v="R014"/>
  </r>
  <r>
    <s v="DFOA6-0339"/>
    <x v="13"/>
    <s v="임대"/>
    <s v="이승희"/>
    <s v="녹산공장"/>
    <s v="대한제강-339"/>
    <s v="2교대"/>
    <s v="C/B"/>
    <x v="8"/>
    <s v="두산"/>
    <s v="D160S-9FS"/>
    <s v="FDC0H-5107-00174"/>
    <d v="2024-11-13T00:00:00"/>
    <n v="0"/>
    <s v="004다9788"/>
    <s v="Y"/>
    <s v="케이엔엘"/>
    <d v="2024-11-13T00:00:00"/>
    <d v="2024-11-13T00:00:00"/>
    <n v="6000000"/>
    <n v="170990100"/>
    <n v="2978460"/>
    <s v="R007"/>
  </r>
  <r>
    <s v="CFB25-0340"/>
    <x v="6"/>
    <s v="임대"/>
    <s v="손화나"/>
    <s v="베스텍"/>
    <s v="베스텍-340"/>
    <s v="주간"/>
    <s v="C/B"/>
    <x v="1"/>
    <s v="클라크"/>
    <s v="CRX25FL"/>
    <s v="CRX205-1997-9957KF"/>
    <d v="2019-01-01T00:00:00"/>
    <n v="4165"/>
    <m/>
    <s v="Y"/>
    <s v="케이엔엘"/>
    <d v="2024-11-14T00:00:00"/>
    <d v="2024-12-13T00:00:00"/>
    <n v="400000"/>
    <n v="9800000"/>
    <n v="70000"/>
    <s v="R008"/>
  </r>
  <r>
    <s v="LTB60-0341"/>
    <x v="30"/>
    <s v="임대"/>
    <s v="이상용"/>
    <s v="B/B 물류공정"/>
    <s v="셰플러-341"/>
    <s v="2교대"/>
    <s v="좌식"/>
    <x v="17"/>
    <s v="티엠씨 엘앤에프"/>
    <s v="TT150XQ"/>
    <s v="TT150XQ-24102196"/>
    <d v="2024-10-18T00:00:00"/>
    <n v="0"/>
    <m/>
    <s v="Y"/>
    <s v="케이엔엘"/>
    <d v="2024-11-25T00:00:00"/>
    <d v="2024-12-01T00:00:00"/>
    <n v="622000"/>
    <n v="13600000"/>
    <m/>
    <s v="R014"/>
  </r>
  <r>
    <s v="DFOA6-0342"/>
    <x v="47"/>
    <s v="임대"/>
    <s v="주상현"/>
    <s v="세아제강"/>
    <s v="제강-342"/>
    <s v="주간"/>
    <s v="C/B"/>
    <x v="8"/>
    <s v="두산"/>
    <s v="D160S-9"/>
    <s v="FDC0H-5107-00175"/>
    <d v="2024-11-20T00:00:00"/>
    <n v="0"/>
    <s v="004다9791"/>
    <s v="Y"/>
    <s v="케이엔엘"/>
    <d v="2024-11-20T00:00:00"/>
    <d v="2024-11-20T00:00:00"/>
    <n v="3000000"/>
    <n v="167340000"/>
    <n v="2928230"/>
    <s v="R044"/>
  </r>
  <r>
    <s v="DFOA6-0343"/>
    <x v="47"/>
    <s v="임대"/>
    <s v="주상현"/>
    <s v="세아제강"/>
    <s v="제강-343"/>
    <s v="주간"/>
    <s v="C/B"/>
    <x v="8"/>
    <s v="두산"/>
    <s v="D160S-9"/>
    <s v="FDC0H-5107-00177"/>
    <d v="2024-11-20T00:00:00"/>
    <n v="0"/>
    <s v="004다9790"/>
    <s v="Y"/>
    <s v="케이엔엘"/>
    <d v="2024-11-20T00:00:00"/>
    <d v="2024-11-20T00:00:00"/>
    <n v="3000000"/>
    <n v="167340000"/>
    <n v="2743000"/>
    <s v="R044"/>
  </r>
  <r>
    <s v="TFB25-0344"/>
    <x v="10"/>
    <s v="임대"/>
    <s v="이승희"/>
    <s v="신설라인"/>
    <s v="경남금속-344"/>
    <s v="주간"/>
    <s v="C/B"/>
    <x v="1"/>
    <s v="도요다"/>
    <s v="8FB25"/>
    <s v="8FB25-12337"/>
    <d v="2017-08-01T00:00:00"/>
    <n v="5030"/>
    <m/>
    <s v="N"/>
    <s v="케이엔엘"/>
    <d v="2024-12-03T00:00:00"/>
    <d v="2024-12-05T00:00:00"/>
    <n v="490000"/>
    <n v="16702000"/>
    <n v="772000"/>
    <s v="R005"/>
  </r>
  <r>
    <s v="DFB30-0345"/>
    <x v="20"/>
    <s v="임대"/>
    <s v="손화나"/>
    <s v="오페"/>
    <s v="오페-345"/>
    <s v="주간"/>
    <s v="C/B"/>
    <x v="0"/>
    <s v="두산"/>
    <s v="B30S-5"/>
    <s v="FBA09-1910-00009"/>
    <d v="2007-01-01T00:00:00"/>
    <n v="29759"/>
    <m/>
    <s v="Y"/>
    <s v="케이엔엘"/>
    <d v="2024-12-30T00:00:00"/>
    <d v="2025-01-01T00:00:00"/>
    <n v="550000"/>
    <n v="11500000"/>
    <n v="600000"/>
    <s v="R036"/>
  </r>
  <r>
    <s v="DFB30-0346"/>
    <x v="20"/>
    <s v="임대"/>
    <s v="손화나"/>
    <s v="오페"/>
    <s v="오페-346"/>
    <s v="주간"/>
    <s v="C/B"/>
    <x v="0"/>
    <s v="두산"/>
    <s v="B30S-5"/>
    <s v="FBA09-1910-02474"/>
    <d v="2016-01-01T00:00:00"/>
    <n v="10547"/>
    <m/>
    <s v="Y"/>
    <s v="케이엔엘"/>
    <d v="2024-12-30T00:00:00"/>
    <d v="2025-01-01T00:00:00"/>
    <n v="550000"/>
    <n v="14000000"/>
    <n v="5700000"/>
    <s v="R036"/>
  </r>
  <r>
    <s v="DFO30-0347"/>
    <x v="20"/>
    <s v="임대"/>
    <s v="손화나"/>
    <s v="오페"/>
    <s v="오페-347"/>
    <s v="주간"/>
    <s v="C/B"/>
    <x v="0"/>
    <s v="두산"/>
    <s v="D30S-5"/>
    <s v="D30S5-05754"/>
    <d v="2010-01-01T00:00:00"/>
    <n v="12022"/>
    <s v="004라6501"/>
    <s v="Y"/>
    <s v="케이엔엘"/>
    <d v="2024-12-30T00:00:00"/>
    <d v="2025-01-01T00:00:00"/>
    <n v="600000"/>
    <n v="2611570"/>
    <n v="1794290"/>
    <s v="R036"/>
  </r>
  <r>
    <s v="HFB50-0348"/>
    <x v="8"/>
    <s v="임대"/>
    <s v="손화나"/>
    <s v="조립반"/>
    <s v="대동기어-348"/>
    <s v="주간"/>
    <s v="C/B"/>
    <x v="7"/>
    <s v="현대"/>
    <s v="50B-9"/>
    <s v="HHKHB303KG 0000157"/>
    <d v="2020-08-01T00:00:00"/>
    <n v="0"/>
    <m/>
    <s v="Y"/>
    <s v="케이엔엘"/>
    <d v="2024-12-30T00:00:00"/>
    <d v="2025-01-01T00:00:00"/>
    <n v="892000"/>
    <n v="39500000"/>
    <n v="132000"/>
    <s v="R046"/>
  </r>
  <r>
    <s v="HFB50-0349"/>
    <x v="8"/>
    <s v="임대"/>
    <s v="손화나"/>
    <s v="2공장"/>
    <s v="대동기어-349"/>
    <s v="주간"/>
    <s v="C/B"/>
    <x v="7"/>
    <s v="현대"/>
    <s v="50B-9"/>
    <s v="HHKHB303H 00000118"/>
    <d v="2019-11-01T00:00:00"/>
    <n v="0"/>
    <m/>
    <s v="Y"/>
    <s v="케이엔엘"/>
    <d v="2024-12-30T00:00:00"/>
    <d v="2025-01-01T00:00:00"/>
    <n v="892000"/>
    <n v="29500000"/>
    <n v="3700000"/>
    <s v="R046"/>
  </r>
  <r>
    <s v="TFB25-0350"/>
    <x v="8"/>
    <s v="임대"/>
    <s v="손화나"/>
    <s v="경운기반"/>
    <s v="대동기어-350"/>
    <s v="주간"/>
    <s v="C/B"/>
    <x v="1"/>
    <s v="도요다"/>
    <s v="7FB25"/>
    <s v="7FB25-33364"/>
    <d v="2007-12-01T00:00:00"/>
    <n v="0"/>
    <m/>
    <s v="Y"/>
    <s v="케이엔엘"/>
    <d v="2024-12-30T00:00:00"/>
    <d v="2025-01-01T00:00:00"/>
    <n v="592000"/>
    <n v="6300000"/>
    <n v="5020920"/>
    <s v="R046"/>
  </r>
  <r>
    <s v="TFB18-0351"/>
    <x v="8"/>
    <s v="임대"/>
    <s v="손화나"/>
    <s v="2공장"/>
    <s v="대동기어-351"/>
    <s v="주간"/>
    <s v="C/B"/>
    <x v="3"/>
    <s v="도요다"/>
    <s v="7FBRS18"/>
    <s v="7FBRS18-51270"/>
    <d v="2016-10-01T00:00:00"/>
    <n v="0"/>
    <m/>
    <s v="Y"/>
    <s v="케이엔엘"/>
    <d v="2024-12-30T00:00:00"/>
    <d v="2025-01-01T00:00:00"/>
    <n v="442000"/>
    <n v="6700000"/>
    <m/>
    <s v="R046"/>
  </r>
  <r>
    <s v="DFB30-0352"/>
    <x v="8"/>
    <s v="임대"/>
    <s v="손화나"/>
    <s v="입출고 동쪽창고"/>
    <s v="대동기어-352"/>
    <s v="주간"/>
    <s v="C/B"/>
    <x v="0"/>
    <s v="두산"/>
    <s v="B30NS"/>
    <s v="FBA48-3690-01384"/>
    <d v="2022-08-01T00:00:00"/>
    <n v="0"/>
    <m/>
    <s v="Y"/>
    <s v="케이엔엘"/>
    <d v="2024-12-30T00:00:00"/>
    <d v="2025-01-01T00:00:00"/>
    <n v="592000"/>
    <n v="27500000"/>
    <n v="372000"/>
    <s v="R046"/>
  </r>
  <r>
    <s v="DFB30-0353"/>
    <x v="8"/>
    <s v="임대"/>
    <s v="손화나"/>
    <s v="동쪽안 경운기반"/>
    <s v="대동기어-353"/>
    <s v="주간"/>
    <s v="C/B"/>
    <x v="0"/>
    <s v="두산"/>
    <s v="B30NS"/>
    <s v="FBA48-3690-01393"/>
    <d v="2022-08-01T00:00:00"/>
    <n v="0"/>
    <m/>
    <s v="Y"/>
    <s v="케이엔엘"/>
    <d v="2024-12-30T00:00:00"/>
    <d v="2025-01-01T00:00:00"/>
    <n v="592000"/>
    <n v="27400000"/>
    <m/>
    <s v="R046"/>
  </r>
  <r>
    <s v="DFB30-0354"/>
    <x v="8"/>
    <s v="임대"/>
    <s v="손화나"/>
    <s v="2공장"/>
    <s v="대동기어-354"/>
    <s v="주간"/>
    <s v="C/B"/>
    <x v="0"/>
    <s v="두산"/>
    <s v="B30NS"/>
    <s v="FBA48-3690-01632"/>
    <d v="2023-01-01T00:00:00"/>
    <n v="0"/>
    <m/>
    <s v="Y"/>
    <s v="케이엔엘"/>
    <d v="2024-12-30T00:00:00"/>
    <d v="2025-01-01T00:00:00"/>
    <n v="592000"/>
    <n v="33100000"/>
    <m/>
    <s v="R046"/>
  </r>
  <r>
    <s v="DFO35-0355"/>
    <x v="3"/>
    <s v="임대"/>
    <s v="이병대"/>
    <s v="대구 달성공장"/>
    <s v="대동-355"/>
    <s v="주간"/>
    <s v="C/B"/>
    <x v="12"/>
    <s v="두산"/>
    <s v="D35S-5"/>
    <s v="D35S-500094"/>
    <d v="2007-07-10T00:00:00"/>
    <n v="0"/>
    <s v="004라7003"/>
    <s v="Y"/>
    <s v="케이엔엘"/>
    <d v="2025-02-21T00:00:00"/>
    <d v="2025-03-01T00:00:00"/>
    <n v="1000000"/>
    <n v="10419200"/>
    <n v="134000"/>
    <s v="R043"/>
  </r>
  <r>
    <s v="TFB25-0356"/>
    <x v="32"/>
    <s v="임대"/>
    <s v="손화나"/>
    <s v="SNT다이내믹스"/>
    <s v="SNT-356"/>
    <s v="주간"/>
    <s v="C/B"/>
    <x v="1"/>
    <s v="도요다"/>
    <s v="8FB25"/>
    <s v="8FB25-10113"/>
    <d v="2017-01-01T00:00:00"/>
    <n v="8603"/>
    <m/>
    <s v="N"/>
    <s v="케이엔엘"/>
    <d v="2025-02-24T00:00:00"/>
    <d v="2025-03-01T00:00:00"/>
    <n v="500000"/>
    <n v="15200000"/>
    <n v="430000"/>
    <s v="R038"/>
  </r>
  <r>
    <s v="DFO30-0357"/>
    <x v="3"/>
    <s v="임대"/>
    <s v="이병대"/>
    <s v="대구 달성공장"/>
    <s v="대동-357"/>
    <s v="주간"/>
    <s v="C/B"/>
    <x v="0"/>
    <s v="두산"/>
    <s v="D30SE-9"/>
    <s v="FDA2H-5122-04260"/>
    <d v="2025-02-27T00:00:00"/>
    <n v="0"/>
    <s v="004라7009"/>
    <s v="Y"/>
    <s v="케이엔엘"/>
    <d v="2025-02-28T00:00:00"/>
    <d v="2025-03-01T00:00:00"/>
    <n v="900000"/>
    <n v="44169890"/>
    <n v="143500"/>
    <s v="R043"/>
  </r>
  <r>
    <s v="DFO30-0358"/>
    <x v="3"/>
    <s v="임대"/>
    <s v="이병대"/>
    <s v="대구 달성공장"/>
    <s v="대동-358"/>
    <s v="주간"/>
    <s v="C/B"/>
    <x v="0"/>
    <s v="두산"/>
    <s v="D30SE-9"/>
    <s v="FDA2H-5122-04262"/>
    <d v="2025-02-27T00:00:00"/>
    <n v="0"/>
    <s v="004라7008"/>
    <s v="Y"/>
    <s v="케이엔엘"/>
    <d v="2025-02-28T00:00:00"/>
    <d v="2025-03-01T00:00:00"/>
    <n v="900000"/>
    <n v="44169890"/>
    <n v="393500"/>
    <s v="R043"/>
  </r>
  <r>
    <s v="LTB13-0359"/>
    <x v="30"/>
    <s v="임대"/>
    <s v="이상용"/>
    <s v="1MU B/B 조립(대형)"/>
    <s v="셰플러-359"/>
    <s v="2교대"/>
    <s v="핸드"/>
    <x v="15"/>
    <s v="티엠씨 엘앤에프"/>
    <s v="TR13R"/>
    <s v="TR13R-2503217"/>
    <d v="2025-03-10T00:00:00"/>
    <n v="0"/>
    <m/>
    <s v="Y"/>
    <s v="케이엔엘"/>
    <d v="2025-03-10T00:00:00"/>
    <d v="2025-03-10T00:00:00"/>
    <n v="500000"/>
    <n v="13800000"/>
    <m/>
    <s v="R014"/>
  </r>
  <r>
    <s v="DFB25-0360"/>
    <x v="27"/>
    <s v="임대"/>
    <s v="고민서"/>
    <s v="플라스틱옴니엄"/>
    <s v="옴니엄-360"/>
    <s v="주간"/>
    <s v="C/B"/>
    <x v="1"/>
    <s v="두산"/>
    <s v="B25SE-7"/>
    <s v="FBA36-4930-03439"/>
    <d v="2025-04-18T00:00:00"/>
    <n v="0"/>
    <m/>
    <s v="Y"/>
    <s v="케이엔엘"/>
    <d v="2025-04-24T00:00:00"/>
    <d v="2025-05-01T00:00:00"/>
    <n v="755000"/>
    <n v="34160000"/>
    <n v="40260"/>
    <s v="R037"/>
  </r>
  <r>
    <s v="NFB10-0361"/>
    <x v="35"/>
    <s v="임대"/>
    <s v="이종혁"/>
    <s v="셰플러 안산"/>
    <s v="안산-361"/>
    <s v="주간"/>
    <s v="C/B"/>
    <x v="6"/>
    <s v="니찌우"/>
    <s v="RFTL10T-80"/>
    <n v="0"/>
    <d v="2025-05-14T00:00:00"/>
    <n v="0"/>
    <m/>
    <s v="Y"/>
    <s v="케이엔엘"/>
    <d v="2025-05-27T00:00:00"/>
    <d v="2025-06-01T00:00:00"/>
    <n v="1600000"/>
    <n v="76000000"/>
    <m/>
    <s v="R022"/>
  </r>
  <r>
    <s v="DFOA2-0362"/>
    <x v="48"/>
    <s v="임대"/>
    <s v="고민서"/>
    <s v="볼보 시작실"/>
    <s v="볼보(시작)-362"/>
    <s v="주간"/>
    <s v="C/B"/>
    <x v="18"/>
    <s v="두산"/>
    <s v="D120S-9"/>
    <s v="FDC0F-5107-00047"/>
    <d v="2025-05-29T00:00:00"/>
    <n v="0"/>
    <m/>
    <s v="N"/>
    <s v="케이엔엘"/>
    <d v="2025-05-29T00:00:00"/>
    <d v="2025-05-29T00:00:00"/>
    <n v="2550000"/>
    <n v="164130000"/>
    <m/>
    <s v="R050"/>
  </r>
  <r>
    <s v="CFB30-0363"/>
    <x v="48"/>
    <s v="임대"/>
    <s v="고민서"/>
    <s v="볼보 시작실"/>
    <s v="볼보(시작)-363"/>
    <s v="주간"/>
    <s v="C/B"/>
    <x v="0"/>
    <s v="클라크"/>
    <s v="EPX30FL"/>
    <s v="EPX360FL-8070-9959KF"/>
    <d v="2025-05-26T00:00:00"/>
    <n v="0"/>
    <m/>
    <s v="N"/>
    <s v="케이엔엘"/>
    <d v="2025-05-29T00:00:00"/>
    <d v="2025-06-01T00:00:00"/>
    <n v="720000"/>
    <n v="38280000"/>
    <m/>
    <s v="R050"/>
  </r>
  <r>
    <s v="CFO50-0364"/>
    <x v="48"/>
    <s v="임대"/>
    <s v="고민서"/>
    <s v="볼보 시작실"/>
    <s v="볼보(시작)-364"/>
    <s v="주간"/>
    <s v="C/B"/>
    <x v="7"/>
    <s v="클라크"/>
    <s v="S50KD"/>
    <s v="S455D-02511-0049KF"/>
    <d v="2025-05-26T00:00:00"/>
    <n v="0"/>
    <s v="004라7019"/>
    <s v="N"/>
    <s v="케이엔엘"/>
    <d v="2025-05-29T00:00:00"/>
    <d v="2025-06-01T00:00:00"/>
    <n v="920000"/>
    <n v="58080000"/>
    <m/>
    <s v="R0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피벗 테이블1" cacheId="2" applyNumberFormats="0" applyBorderFormats="0" applyFontFormats="0" applyPatternFormats="0" applyAlignmentFormats="0" applyWidthHeightFormats="1" dataCaption="값" updatedVersion="7" minRefreshableVersion="3" useAutoFormatting="1" itemPrintTitles="1" createdVersion="6" indent="0" outline="1" outlineData="1" multipleFieldFilters="0">
  <location ref="A3:U54" firstHeaderRow="1" firstDataRow="2" firstDataCol="1"/>
  <pivotFields count="23">
    <pivotField showAll="0"/>
    <pivotField axis="axisRow" showAll="0">
      <items count="50">
        <item x="3"/>
        <item x="44"/>
        <item x="24"/>
        <item x="37"/>
        <item x="32"/>
        <item x="2"/>
        <item x="10"/>
        <item x="14"/>
        <item x="8"/>
        <item x="7"/>
        <item x="11"/>
        <item x="13"/>
        <item x="12"/>
        <item x="15"/>
        <item x="9"/>
        <item x="5"/>
        <item x="31"/>
        <item x="26"/>
        <item x="42"/>
        <item x="43"/>
        <item x="0"/>
        <item x="6"/>
        <item x="33"/>
        <item x="41"/>
        <item x="16"/>
        <item x="38"/>
        <item x="17"/>
        <item x="47"/>
        <item x="34"/>
        <item x="30"/>
        <item x="35"/>
        <item x="25"/>
        <item x="36"/>
        <item x="23"/>
        <item x="20"/>
        <item x="29"/>
        <item x="18"/>
        <item x="21"/>
        <item x="46"/>
        <item x="4"/>
        <item x="19"/>
        <item x="28"/>
        <item x="39"/>
        <item x="40"/>
        <item x="1"/>
        <item x="27"/>
        <item x="45"/>
        <item x="22"/>
        <item x="48"/>
        <item t="default"/>
      </items>
    </pivotField>
    <pivotField showAll="0"/>
    <pivotField showAll="0"/>
    <pivotField showAll="0"/>
    <pivotField showAll="0"/>
    <pivotField showAll="0"/>
    <pivotField dataField="1" showAll="0"/>
    <pivotField axis="axisCol" showAll="0">
      <items count="20">
        <item x="6"/>
        <item x="15"/>
        <item x="5"/>
        <item x="3"/>
        <item x="8"/>
        <item x="2"/>
        <item x="1"/>
        <item x="0"/>
        <item x="16"/>
        <item x="11"/>
        <item x="12"/>
        <item x="4"/>
        <item x="13"/>
        <item x="7"/>
        <item x="17"/>
        <item x="9"/>
        <item x="14"/>
        <item x="10"/>
        <item x="18"/>
        <item t="default"/>
      </items>
    </pivotField>
    <pivotField showAll="0"/>
    <pivotField showAll="0"/>
    <pivotField showAll="0"/>
    <pivotField numFmtId="14" showAll="0"/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</pivotFields>
  <rowFields count="1">
    <field x="1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Fields count="1">
    <field x="8"/>
  </colFields>
  <col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개수 : 규격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D465"/>
  <sheetViews>
    <sheetView tabSelected="1" zoomScale="70" zoomScaleNormal="70" workbookViewId="0">
      <pane xSplit="12" ySplit="3" topLeftCell="M283" activePane="bottomRight" state="frozen"/>
      <selection pane="topRight" activeCell="L1" sqref="L1"/>
      <selection pane="bottomLeft" activeCell="A4" sqref="A4"/>
      <selection pane="bottomRight" activeCell="N297" sqref="N297"/>
    </sheetView>
  </sheetViews>
  <sheetFormatPr defaultRowHeight="17.399999999999999" x14ac:dyDescent="0.4"/>
  <cols>
    <col min="1" max="1" width="8.5" bestFit="1" customWidth="1"/>
    <col min="2" max="5" width="4.19921875" bestFit="1" customWidth="1"/>
    <col min="6" max="6" width="12.5" bestFit="1" customWidth="1"/>
    <col min="7" max="7" width="18.59765625" bestFit="1" customWidth="1"/>
    <col min="8" max="8" width="16.19921875" bestFit="1" customWidth="1"/>
    <col min="10" max="10" width="11.09765625" customWidth="1"/>
    <col min="11" max="11" width="23.8984375" bestFit="1" customWidth="1"/>
    <col min="12" max="12" width="17.19921875" bestFit="1" customWidth="1"/>
    <col min="14" max="14" width="11.09765625" bestFit="1" customWidth="1"/>
    <col min="15" max="15" width="12.59765625" bestFit="1" customWidth="1"/>
    <col min="16" max="16" width="15.19921875" bestFit="1" customWidth="1"/>
    <col min="17" max="17" width="14.5" bestFit="1" customWidth="1"/>
    <col min="18" max="18" width="29.19921875" bestFit="1" customWidth="1"/>
    <col min="19" max="19" width="11.09765625" bestFit="1" customWidth="1"/>
    <col min="21" max="21" width="14.8984375" bestFit="1" customWidth="1"/>
    <col min="22" max="22" width="10" bestFit="1" customWidth="1"/>
    <col min="23" max="25" width="10" customWidth="1"/>
    <col min="26" max="26" width="12" customWidth="1"/>
    <col min="27" max="28" width="11.19921875" bestFit="1" customWidth="1"/>
    <col min="29" max="29" width="13" bestFit="1" customWidth="1"/>
    <col min="30" max="30" width="13.8984375" bestFit="1" customWidth="1"/>
  </cols>
  <sheetData>
    <row r="1" spans="1:30" ht="30" x14ac:dyDescent="0.4">
      <c r="F1" s="3" t="s">
        <v>2073</v>
      </c>
    </row>
    <row r="3" spans="1:30" ht="34.799999999999997" x14ac:dyDescent="0.4">
      <c r="A3" s="42" t="s">
        <v>1317</v>
      </c>
      <c r="B3" s="43" t="s">
        <v>1318</v>
      </c>
      <c r="C3" s="42" t="s">
        <v>1319</v>
      </c>
      <c r="D3" s="42" t="s">
        <v>1320</v>
      </c>
      <c r="E3" s="42" t="s">
        <v>1321</v>
      </c>
      <c r="F3" s="6" t="s">
        <v>0</v>
      </c>
      <c r="G3" s="6" t="s">
        <v>1</v>
      </c>
      <c r="H3" s="6" t="s">
        <v>1705</v>
      </c>
      <c r="I3" s="6" t="s">
        <v>1706</v>
      </c>
      <c r="J3" s="6" t="s">
        <v>3</v>
      </c>
      <c r="K3" s="6" t="s">
        <v>4</v>
      </c>
      <c r="L3" s="6" t="s">
        <v>5</v>
      </c>
      <c r="M3" s="5" t="s">
        <v>1306</v>
      </c>
      <c r="N3" s="6" t="s">
        <v>6</v>
      </c>
      <c r="O3" s="5" t="s">
        <v>1307</v>
      </c>
      <c r="P3" s="6" t="s">
        <v>7</v>
      </c>
      <c r="Q3" s="6" t="s">
        <v>8</v>
      </c>
      <c r="R3" s="6" t="s">
        <v>9</v>
      </c>
      <c r="S3" s="6" t="s">
        <v>10</v>
      </c>
      <c r="T3" s="5" t="s">
        <v>1308</v>
      </c>
      <c r="U3" s="5" t="s">
        <v>1322</v>
      </c>
      <c r="V3" s="6" t="s">
        <v>11</v>
      </c>
      <c r="W3" s="6" t="s">
        <v>1827</v>
      </c>
      <c r="X3" s="6" t="s">
        <v>1828</v>
      </c>
      <c r="Y3" s="6" t="s">
        <v>1829</v>
      </c>
      <c r="Z3" s="146" t="s">
        <v>12</v>
      </c>
      <c r="AA3" s="5" t="s">
        <v>1323</v>
      </c>
      <c r="AB3" s="5" t="s">
        <v>1310</v>
      </c>
      <c r="AC3" s="6" t="s">
        <v>15</v>
      </c>
      <c r="AD3" s="6" t="s">
        <v>16</v>
      </c>
    </row>
    <row r="4" spans="1:30" x14ac:dyDescent="0.4">
      <c r="A4" s="29">
        <v>1</v>
      </c>
      <c r="B4" s="29" t="str">
        <f>MID(F4,8,3)</f>
        <v>001</v>
      </c>
      <c r="C4" s="29" t="str">
        <f>MID(F4,1,1)</f>
        <v>C</v>
      </c>
      <c r="D4" s="29" t="str">
        <f>MID(F4,3,1)</f>
        <v>B</v>
      </c>
      <c r="E4" s="29" t="str">
        <f>MID(F4,2,1)</f>
        <v>F</v>
      </c>
      <c r="F4" s="1" t="s">
        <v>17</v>
      </c>
      <c r="G4" s="1" t="s">
        <v>18</v>
      </c>
      <c r="H4" s="1" t="s">
        <v>18</v>
      </c>
      <c r="I4" s="1" t="s">
        <v>19</v>
      </c>
      <c r="J4" s="1" t="s">
        <v>1362</v>
      </c>
      <c r="K4" s="1" t="s">
        <v>20</v>
      </c>
      <c r="L4" s="1" t="s">
        <v>21</v>
      </c>
      <c r="M4" s="1" t="s">
        <v>22</v>
      </c>
      <c r="N4" s="1" t="s">
        <v>118</v>
      </c>
      <c r="O4" s="1" t="s">
        <v>23</v>
      </c>
      <c r="P4" s="1" t="s">
        <v>24</v>
      </c>
      <c r="Q4" s="1" t="s">
        <v>25</v>
      </c>
      <c r="R4" s="1" t="s">
        <v>26</v>
      </c>
      <c r="S4" s="75">
        <v>39448</v>
      </c>
      <c r="T4" s="1">
        <v>23716</v>
      </c>
      <c r="U4" s="1"/>
      <c r="V4" s="1" t="s">
        <v>27</v>
      </c>
      <c r="W4" s="1" t="s">
        <v>1830</v>
      </c>
      <c r="X4" s="1" t="s">
        <v>1836</v>
      </c>
      <c r="Y4" s="1" t="s">
        <v>1831</v>
      </c>
      <c r="Z4" s="1" t="s">
        <v>1836</v>
      </c>
      <c r="AA4" s="75">
        <v>43313</v>
      </c>
      <c r="AB4" s="75">
        <v>45383</v>
      </c>
      <c r="AC4" s="88">
        <v>600000</v>
      </c>
      <c r="AD4" s="88">
        <v>18500000</v>
      </c>
    </row>
    <row r="5" spans="1:30" x14ac:dyDescent="0.4">
      <c r="A5" s="29">
        <v>2</v>
      </c>
      <c r="B5" s="29" t="str">
        <f t="shared" ref="B5:B68" si="0">MID(F5,8,3)</f>
        <v>002</v>
      </c>
      <c r="C5" s="29" t="str">
        <f t="shared" ref="C5:C68" si="1">MID(F5,1,1)</f>
        <v>C</v>
      </c>
      <c r="D5" s="29" t="str">
        <f t="shared" ref="D5:D68" si="2">MID(F5,3,1)</f>
        <v>B</v>
      </c>
      <c r="E5" s="29" t="str">
        <f t="shared" ref="E5:E68" si="3">MID(F5,2,1)</f>
        <v>F</v>
      </c>
      <c r="F5" s="1" t="s">
        <v>29</v>
      </c>
      <c r="G5" s="1" t="s">
        <v>30</v>
      </c>
      <c r="H5" s="1" t="s">
        <v>30</v>
      </c>
      <c r="I5" s="1" t="s">
        <v>19</v>
      </c>
      <c r="J5" s="1" t="s">
        <v>31</v>
      </c>
      <c r="K5" s="1"/>
      <c r="L5" s="1" t="s">
        <v>32</v>
      </c>
      <c r="M5" s="1" t="s">
        <v>22</v>
      </c>
      <c r="N5" s="1" t="s">
        <v>118</v>
      </c>
      <c r="O5" s="1" t="s">
        <v>33</v>
      </c>
      <c r="P5" s="1" t="s">
        <v>24</v>
      </c>
      <c r="Q5" s="1" t="s">
        <v>34</v>
      </c>
      <c r="R5" s="1" t="s">
        <v>35</v>
      </c>
      <c r="S5" s="75">
        <v>42005</v>
      </c>
      <c r="T5" s="1">
        <v>0</v>
      </c>
      <c r="U5" s="1"/>
      <c r="V5" s="1" t="s">
        <v>36</v>
      </c>
      <c r="W5" s="1"/>
      <c r="X5" s="1"/>
      <c r="Y5" s="1"/>
      <c r="Z5" s="1" t="s">
        <v>1836</v>
      </c>
      <c r="AA5" s="75">
        <v>43647</v>
      </c>
      <c r="AB5" s="75">
        <v>43647</v>
      </c>
      <c r="AC5" s="88">
        <v>500000</v>
      </c>
      <c r="AD5" s="88">
        <v>10000000</v>
      </c>
    </row>
    <row r="6" spans="1:30" ht="17.399999999999999" customHeight="1" x14ac:dyDescent="0.4">
      <c r="A6" s="29">
        <v>3</v>
      </c>
      <c r="B6" s="29" t="str">
        <f t="shared" si="0"/>
        <v>003</v>
      </c>
      <c r="C6" s="29" t="str">
        <f t="shared" si="1"/>
        <v>D</v>
      </c>
      <c r="D6" s="29" t="str">
        <f t="shared" si="2"/>
        <v>O</v>
      </c>
      <c r="E6" s="29" t="str">
        <f t="shared" si="3"/>
        <v>F</v>
      </c>
      <c r="F6" s="1" t="s">
        <v>37</v>
      </c>
      <c r="G6" s="1" t="s">
        <v>38</v>
      </c>
      <c r="H6" s="1" t="s">
        <v>45</v>
      </c>
      <c r="I6" s="1" t="s">
        <v>19</v>
      </c>
      <c r="J6" s="1" t="s">
        <v>39</v>
      </c>
      <c r="K6" s="1"/>
      <c r="L6" s="1" t="s">
        <v>40</v>
      </c>
      <c r="M6" s="1" t="s">
        <v>22</v>
      </c>
      <c r="N6" s="1" t="s">
        <v>118</v>
      </c>
      <c r="O6" s="1" t="s">
        <v>23</v>
      </c>
      <c r="P6" s="1" t="s">
        <v>41</v>
      </c>
      <c r="Q6" s="1" t="s">
        <v>42</v>
      </c>
      <c r="R6" s="1" t="s">
        <v>43</v>
      </c>
      <c r="S6" s="75">
        <v>43313</v>
      </c>
      <c r="T6" s="1">
        <v>0</v>
      </c>
      <c r="U6" s="1" t="s">
        <v>44</v>
      </c>
      <c r="V6" s="1" t="s">
        <v>27</v>
      </c>
      <c r="W6" s="1" t="s">
        <v>1830</v>
      </c>
      <c r="X6" s="1" t="s">
        <v>45</v>
      </c>
      <c r="Y6" s="1" t="s">
        <v>1832</v>
      </c>
      <c r="Z6" s="1" t="s">
        <v>45</v>
      </c>
      <c r="AA6" s="75">
        <v>43318</v>
      </c>
      <c r="AB6" s="75">
        <v>43318</v>
      </c>
      <c r="AC6" s="88">
        <v>776000</v>
      </c>
      <c r="AD6" s="88">
        <v>31490000</v>
      </c>
    </row>
    <row r="7" spans="1:30" ht="17.399999999999999" customHeight="1" x14ac:dyDescent="0.4">
      <c r="A7" s="29">
        <v>4</v>
      </c>
      <c r="B7" s="29" t="str">
        <f t="shared" si="0"/>
        <v>004</v>
      </c>
      <c r="C7" s="29" t="str">
        <f t="shared" si="1"/>
        <v>D</v>
      </c>
      <c r="D7" s="29" t="str">
        <f t="shared" si="2"/>
        <v>O</v>
      </c>
      <c r="E7" s="29" t="str">
        <f t="shared" si="3"/>
        <v>F</v>
      </c>
      <c r="F7" s="1" t="s">
        <v>46</v>
      </c>
      <c r="G7" s="1" t="s">
        <v>47</v>
      </c>
      <c r="H7" s="1" t="s">
        <v>1692</v>
      </c>
      <c r="I7" s="1" t="s">
        <v>19</v>
      </c>
      <c r="J7" s="1" t="s">
        <v>487</v>
      </c>
      <c r="K7" s="1" t="s">
        <v>48</v>
      </c>
      <c r="L7" s="1" t="s">
        <v>49</v>
      </c>
      <c r="M7" s="1" t="s">
        <v>22</v>
      </c>
      <c r="N7" s="1" t="s">
        <v>118</v>
      </c>
      <c r="O7" s="1" t="s">
        <v>23</v>
      </c>
      <c r="P7" s="1" t="s">
        <v>41</v>
      </c>
      <c r="Q7" s="1" t="s">
        <v>50</v>
      </c>
      <c r="R7" s="1" t="s">
        <v>51</v>
      </c>
      <c r="S7" s="75">
        <v>42955</v>
      </c>
      <c r="T7" s="1">
        <v>7815</v>
      </c>
      <c r="U7" s="1" t="s">
        <v>52</v>
      </c>
      <c r="V7" s="1" t="s">
        <v>27</v>
      </c>
      <c r="W7" s="1" t="s">
        <v>1830</v>
      </c>
      <c r="X7" s="1" t="s">
        <v>1836</v>
      </c>
      <c r="Y7" s="1" t="s">
        <v>1833</v>
      </c>
      <c r="Z7" s="1" t="s">
        <v>1836</v>
      </c>
      <c r="AA7" s="75">
        <v>43831</v>
      </c>
      <c r="AB7" s="75">
        <v>45614</v>
      </c>
      <c r="AC7" s="88">
        <v>900000</v>
      </c>
      <c r="AD7" s="88">
        <v>20000000</v>
      </c>
    </row>
    <row r="8" spans="1:30" x14ac:dyDescent="0.4">
      <c r="A8" s="29">
        <v>5</v>
      </c>
      <c r="B8" s="29" t="str">
        <f t="shared" si="0"/>
        <v>005</v>
      </c>
      <c r="C8" s="29" t="str">
        <f t="shared" si="1"/>
        <v>D</v>
      </c>
      <c r="D8" s="29" t="str">
        <f t="shared" si="2"/>
        <v>B</v>
      </c>
      <c r="E8" s="29" t="str">
        <f t="shared" si="3"/>
        <v>F</v>
      </c>
      <c r="F8" s="1" t="s">
        <v>53</v>
      </c>
      <c r="G8" s="1" t="s">
        <v>38</v>
      </c>
      <c r="H8" s="1" t="s">
        <v>45</v>
      </c>
      <c r="I8" s="1" t="s">
        <v>19</v>
      </c>
      <c r="J8" s="1" t="s">
        <v>39</v>
      </c>
      <c r="K8" s="1"/>
      <c r="L8" s="1" t="s">
        <v>54</v>
      </c>
      <c r="M8" s="1" t="s">
        <v>22</v>
      </c>
      <c r="N8" s="1" t="s">
        <v>118</v>
      </c>
      <c r="O8" s="1" t="s">
        <v>55</v>
      </c>
      <c r="P8" s="1" t="s">
        <v>41</v>
      </c>
      <c r="Q8" s="1" t="s">
        <v>56</v>
      </c>
      <c r="R8" s="1" t="s">
        <v>57</v>
      </c>
      <c r="S8" s="75">
        <v>40909</v>
      </c>
      <c r="T8" s="1">
        <v>0</v>
      </c>
      <c r="U8" s="1"/>
      <c r="V8" s="1" t="s">
        <v>27</v>
      </c>
      <c r="W8" s="1" t="s">
        <v>1830</v>
      </c>
      <c r="X8" s="1" t="s">
        <v>45</v>
      </c>
      <c r="Y8" s="1" t="s">
        <v>1832</v>
      </c>
      <c r="Z8" s="1" t="s">
        <v>45</v>
      </c>
      <c r="AA8" s="75">
        <v>43831</v>
      </c>
      <c r="AB8" s="75">
        <v>43831</v>
      </c>
      <c r="AC8" s="88">
        <v>756600</v>
      </c>
      <c r="AD8" s="88">
        <v>18000000</v>
      </c>
    </row>
    <row r="9" spans="1:30" x14ac:dyDescent="0.4">
      <c r="A9" s="29">
        <v>6</v>
      </c>
      <c r="B9" s="29" t="str">
        <f t="shared" si="0"/>
        <v>006</v>
      </c>
      <c r="C9" s="29" t="str">
        <f t="shared" si="1"/>
        <v>C</v>
      </c>
      <c r="D9" s="29" t="str">
        <f t="shared" si="2"/>
        <v>B</v>
      </c>
      <c r="E9" s="29" t="str">
        <f t="shared" si="3"/>
        <v>F</v>
      </c>
      <c r="F9" s="1" t="s">
        <v>58</v>
      </c>
      <c r="G9" s="1" t="s">
        <v>1836</v>
      </c>
      <c r="H9" s="1" t="s">
        <v>1693</v>
      </c>
      <c r="I9" s="1" t="s">
        <v>736</v>
      </c>
      <c r="J9" s="1" t="s">
        <v>31</v>
      </c>
      <c r="K9" s="1" t="s">
        <v>1707</v>
      </c>
      <c r="L9" s="1" t="s">
        <v>61</v>
      </c>
      <c r="M9" s="1" t="s">
        <v>22</v>
      </c>
      <c r="N9" s="1" t="s">
        <v>118</v>
      </c>
      <c r="O9" s="1" t="s">
        <v>62</v>
      </c>
      <c r="P9" s="1" t="s">
        <v>24</v>
      </c>
      <c r="Q9" s="1" t="s">
        <v>63</v>
      </c>
      <c r="R9" s="1" t="s">
        <v>64</v>
      </c>
      <c r="S9" s="75">
        <v>40909</v>
      </c>
      <c r="T9" s="1">
        <v>0</v>
      </c>
      <c r="U9" s="1"/>
      <c r="V9" s="1" t="s">
        <v>36</v>
      </c>
      <c r="W9" s="1"/>
      <c r="X9" s="1"/>
      <c r="Y9" s="1"/>
      <c r="Z9" s="1" t="s">
        <v>1836</v>
      </c>
      <c r="AA9" s="75">
        <v>43831</v>
      </c>
      <c r="AB9" s="75">
        <v>45383</v>
      </c>
      <c r="AC9" s="88">
        <v>0</v>
      </c>
      <c r="AD9" s="88">
        <v>18000000</v>
      </c>
    </row>
    <row r="10" spans="1:30" x14ac:dyDescent="0.4">
      <c r="A10" s="29">
        <v>7</v>
      </c>
      <c r="B10" s="29" t="str">
        <f t="shared" si="0"/>
        <v>007</v>
      </c>
      <c r="C10" s="29" t="str">
        <f t="shared" si="1"/>
        <v>D</v>
      </c>
      <c r="D10" s="29" t="str">
        <f t="shared" si="2"/>
        <v>B</v>
      </c>
      <c r="E10" s="29" t="str">
        <f t="shared" si="3"/>
        <v>F</v>
      </c>
      <c r="F10" s="1" t="s">
        <v>65</v>
      </c>
      <c r="G10" s="1" t="s">
        <v>38</v>
      </c>
      <c r="H10" s="1" t="s">
        <v>45</v>
      </c>
      <c r="I10" s="1" t="s">
        <v>19</v>
      </c>
      <c r="J10" s="1" t="s">
        <v>39</v>
      </c>
      <c r="K10" s="1"/>
      <c r="L10" s="1" t="s">
        <v>66</v>
      </c>
      <c r="M10" s="1" t="s">
        <v>22</v>
      </c>
      <c r="N10" s="1" t="s">
        <v>118</v>
      </c>
      <c r="O10" s="1" t="s">
        <v>55</v>
      </c>
      <c r="P10" s="1" t="s">
        <v>41</v>
      </c>
      <c r="Q10" s="1" t="s">
        <v>56</v>
      </c>
      <c r="R10" s="1" t="s">
        <v>67</v>
      </c>
      <c r="S10" s="75">
        <v>42887</v>
      </c>
      <c r="T10" s="1">
        <v>0</v>
      </c>
      <c r="U10" s="1"/>
      <c r="V10" s="1" t="s">
        <v>27</v>
      </c>
      <c r="W10" s="1" t="s">
        <v>1830</v>
      </c>
      <c r="X10" s="1" t="s">
        <v>45</v>
      </c>
      <c r="Y10" s="1" t="s">
        <v>1832</v>
      </c>
      <c r="Z10" s="1" t="s">
        <v>45</v>
      </c>
      <c r="AA10" s="75">
        <v>43831</v>
      </c>
      <c r="AB10" s="75">
        <v>43831</v>
      </c>
      <c r="AC10" s="88">
        <v>756600</v>
      </c>
      <c r="AD10" s="88">
        <v>8500000</v>
      </c>
    </row>
    <row r="11" spans="1:30" x14ac:dyDescent="0.4">
      <c r="A11" s="29">
        <v>8</v>
      </c>
      <c r="B11" s="29" t="str">
        <f t="shared" si="0"/>
        <v>008</v>
      </c>
      <c r="C11" s="29" t="str">
        <f t="shared" si="1"/>
        <v>C</v>
      </c>
      <c r="D11" s="29" t="str">
        <f t="shared" si="2"/>
        <v>B</v>
      </c>
      <c r="E11" s="29" t="str">
        <f t="shared" si="3"/>
        <v>F</v>
      </c>
      <c r="F11" s="1" t="s">
        <v>68</v>
      </c>
      <c r="G11" s="1" t="s">
        <v>38</v>
      </c>
      <c r="H11" s="1" t="s">
        <v>45</v>
      </c>
      <c r="I11" s="1" t="s">
        <v>19</v>
      </c>
      <c r="J11" s="1" t="s">
        <v>39</v>
      </c>
      <c r="K11" s="1"/>
      <c r="L11" s="1" t="s">
        <v>69</v>
      </c>
      <c r="M11" s="1" t="s">
        <v>22</v>
      </c>
      <c r="N11" s="1" t="s">
        <v>118</v>
      </c>
      <c r="O11" s="1" t="s">
        <v>62</v>
      </c>
      <c r="P11" s="1" t="s">
        <v>24</v>
      </c>
      <c r="Q11" s="1" t="s">
        <v>63</v>
      </c>
      <c r="R11" s="1" t="s">
        <v>70</v>
      </c>
      <c r="S11" s="75">
        <v>40909</v>
      </c>
      <c r="T11" s="1">
        <v>0</v>
      </c>
      <c r="U11" s="1"/>
      <c r="V11" s="1" t="s">
        <v>27</v>
      </c>
      <c r="W11" s="1" t="s">
        <v>1830</v>
      </c>
      <c r="X11" s="1" t="s">
        <v>45</v>
      </c>
      <c r="Y11" s="1" t="s">
        <v>1832</v>
      </c>
      <c r="Z11" s="1" t="s">
        <v>45</v>
      </c>
      <c r="AA11" s="75">
        <v>43831</v>
      </c>
      <c r="AB11" s="75">
        <v>43831</v>
      </c>
      <c r="AC11" s="88">
        <v>756600</v>
      </c>
      <c r="AD11" s="88">
        <v>8500000</v>
      </c>
    </row>
    <row r="12" spans="1:30" ht="17.399999999999999" customHeight="1" x14ac:dyDescent="0.4">
      <c r="A12" s="29">
        <v>9</v>
      </c>
      <c r="B12" s="29" t="str">
        <f t="shared" si="0"/>
        <v>009</v>
      </c>
      <c r="C12" s="29" t="str">
        <f t="shared" si="1"/>
        <v>D</v>
      </c>
      <c r="D12" s="29" t="str">
        <f t="shared" si="2"/>
        <v>O</v>
      </c>
      <c r="E12" s="29" t="str">
        <f t="shared" si="3"/>
        <v>F</v>
      </c>
      <c r="F12" s="1" t="s">
        <v>71</v>
      </c>
      <c r="G12" s="1" t="s">
        <v>38</v>
      </c>
      <c r="H12" s="1" t="s">
        <v>45</v>
      </c>
      <c r="I12" s="1" t="s">
        <v>19</v>
      </c>
      <c r="J12" s="1" t="s">
        <v>39</v>
      </c>
      <c r="K12" s="1"/>
      <c r="L12" s="1" t="s">
        <v>72</v>
      </c>
      <c r="M12" s="1" t="s">
        <v>22</v>
      </c>
      <c r="N12" s="1" t="s">
        <v>118</v>
      </c>
      <c r="O12" s="1" t="s">
        <v>23</v>
      </c>
      <c r="P12" s="1" t="s">
        <v>41</v>
      </c>
      <c r="Q12" s="1" t="s">
        <v>50</v>
      </c>
      <c r="R12" s="1" t="s">
        <v>73</v>
      </c>
      <c r="S12" s="75">
        <v>42887</v>
      </c>
      <c r="T12" s="1">
        <v>0</v>
      </c>
      <c r="U12" s="1" t="s">
        <v>74</v>
      </c>
      <c r="V12" s="1" t="s">
        <v>27</v>
      </c>
      <c r="W12" s="1" t="s">
        <v>1830</v>
      </c>
      <c r="X12" s="1" t="s">
        <v>45</v>
      </c>
      <c r="Y12" s="1" t="s">
        <v>1832</v>
      </c>
      <c r="Z12" s="1" t="s">
        <v>45</v>
      </c>
      <c r="AA12" s="75">
        <v>43831</v>
      </c>
      <c r="AB12" s="75">
        <v>43831</v>
      </c>
      <c r="AC12" s="88">
        <v>747000</v>
      </c>
      <c r="AD12" s="88">
        <v>10500000</v>
      </c>
    </row>
    <row r="13" spans="1:30" ht="17.399999999999999" customHeight="1" x14ac:dyDescent="0.4">
      <c r="A13" s="29">
        <v>10</v>
      </c>
      <c r="B13" s="29" t="str">
        <f t="shared" si="0"/>
        <v>010</v>
      </c>
      <c r="C13" s="29" t="str">
        <f t="shared" si="1"/>
        <v>D</v>
      </c>
      <c r="D13" s="29" t="str">
        <f t="shared" si="2"/>
        <v>O</v>
      </c>
      <c r="E13" s="29" t="str">
        <f t="shared" si="3"/>
        <v>F</v>
      </c>
      <c r="F13" s="1" t="s">
        <v>75</v>
      </c>
      <c r="G13" s="1" t="s">
        <v>76</v>
      </c>
      <c r="H13" s="1" t="s">
        <v>76</v>
      </c>
      <c r="I13" s="1" t="s">
        <v>19</v>
      </c>
      <c r="J13" s="1" t="s">
        <v>31</v>
      </c>
      <c r="K13" s="1" t="s">
        <v>76</v>
      </c>
      <c r="L13" s="1" t="s">
        <v>77</v>
      </c>
      <c r="M13" s="1" t="s">
        <v>22</v>
      </c>
      <c r="N13" s="1" t="s">
        <v>118</v>
      </c>
      <c r="O13" s="1" t="s">
        <v>23</v>
      </c>
      <c r="P13" s="1" t="s">
        <v>41</v>
      </c>
      <c r="Q13" s="1" t="s">
        <v>50</v>
      </c>
      <c r="R13" s="1" t="s">
        <v>78</v>
      </c>
      <c r="S13" s="75">
        <v>42887</v>
      </c>
      <c r="T13" s="1">
        <v>0</v>
      </c>
      <c r="U13" s="1" t="s">
        <v>79</v>
      </c>
      <c r="V13" s="1" t="s">
        <v>27</v>
      </c>
      <c r="W13" s="1" t="s">
        <v>1830</v>
      </c>
      <c r="X13" s="1" t="s">
        <v>1836</v>
      </c>
      <c r="Y13" s="1" t="s">
        <v>1834</v>
      </c>
      <c r="Z13" s="1" t="s">
        <v>1836</v>
      </c>
      <c r="AA13" s="75">
        <v>43831</v>
      </c>
      <c r="AB13" s="75">
        <v>45108</v>
      </c>
      <c r="AC13" s="88">
        <v>600000</v>
      </c>
      <c r="AD13" s="88">
        <v>17000000</v>
      </c>
    </row>
    <row r="14" spans="1:30" ht="17.399999999999999" customHeight="1" x14ac:dyDescent="0.4">
      <c r="A14" s="29">
        <v>11</v>
      </c>
      <c r="B14" s="29" t="str">
        <f t="shared" si="0"/>
        <v>011</v>
      </c>
      <c r="C14" s="29" t="str">
        <f t="shared" si="1"/>
        <v>D</v>
      </c>
      <c r="D14" s="29" t="str">
        <f t="shared" si="2"/>
        <v>B</v>
      </c>
      <c r="E14" s="29" t="str">
        <f t="shared" si="3"/>
        <v>F</v>
      </c>
      <c r="F14" s="1" t="s">
        <v>1872</v>
      </c>
      <c r="G14" s="1" t="s">
        <v>38</v>
      </c>
      <c r="H14" s="1" t="s">
        <v>45</v>
      </c>
      <c r="I14" s="1" t="s">
        <v>19</v>
      </c>
      <c r="J14" s="1" t="s">
        <v>39</v>
      </c>
      <c r="K14" s="1"/>
      <c r="L14" s="1" t="s">
        <v>80</v>
      </c>
      <c r="M14" s="1" t="s">
        <v>22</v>
      </c>
      <c r="N14" s="1" t="s">
        <v>81</v>
      </c>
      <c r="O14" s="1" t="s">
        <v>62</v>
      </c>
      <c r="P14" s="1" t="s">
        <v>41</v>
      </c>
      <c r="Q14" s="1" t="s">
        <v>82</v>
      </c>
      <c r="R14" s="1" t="s">
        <v>83</v>
      </c>
      <c r="S14" s="75">
        <v>44470</v>
      </c>
      <c r="T14" s="1">
        <v>0</v>
      </c>
      <c r="U14" s="1"/>
      <c r="V14" s="1" t="s">
        <v>27</v>
      </c>
      <c r="W14" s="1" t="s">
        <v>1830</v>
      </c>
      <c r="X14" s="1" t="s">
        <v>45</v>
      </c>
      <c r="Y14" s="1" t="s">
        <v>1835</v>
      </c>
      <c r="Z14" s="1" t="s">
        <v>45</v>
      </c>
      <c r="AA14" s="75">
        <v>44490</v>
      </c>
      <c r="AB14" s="75">
        <v>44490</v>
      </c>
      <c r="AC14" s="88">
        <v>670000</v>
      </c>
      <c r="AD14" s="88">
        <v>23500000</v>
      </c>
    </row>
    <row r="15" spans="1:30" ht="17.399999999999999" customHeight="1" x14ac:dyDescent="0.4">
      <c r="A15" s="29">
        <v>12</v>
      </c>
      <c r="B15" s="29" t="str">
        <f t="shared" si="0"/>
        <v>012</v>
      </c>
      <c r="C15" s="29" t="str">
        <f t="shared" si="1"/>
        <v>D</v>
      </c>
      <c r="D15" s="29" t="str">
        <f t="shared" si="2"/>
        <v>O</v>
      </c>
      <c r="E15" s="29" t="str">
        <f t="shared" si="3"/>
        <v>F</v>
      </c>
      <c r="F15" s="1" t="s">
        <v>84</v>
      </c>
      <c r="G15" s="1" t="s">
        <v>76</v>
      </c>
      <c r="H15" s="1" t="s">
        <v>76</v>
      </c>
      <c r="I15" s="1" t="s">
        <v>19</v>
      </c>
      <c r="J15" s="1" t="s">
        <v>31</v>
      </c>
      <c r="K15" s="1" t="s">
        <v>1365</v>
      </c>
      <c r="L15" s="1" t="s">
        <v>85</v>
      </c>
      <c r="M15" s="1" t="s">
        <v>22</v>
      </c>
      <c r="N15" s="1" t="s">
        <v>118</v>
      </c>
      <c r="O15" s="1" t="s">
        <v>23</v>
      </c>
      <c r="P15" s="1" t="s">
        <v>41</v>
      </c>
      <c r="Q15" s="1" t="s">
        <v>86</v>
      </c>
      <c r="R15" s="1" t="s">
        <v>87</v>
      </c>
      <c r="S15" s="75">
        <v>40544</v>
      </c>
      <c r="T15" s="1">
        <v>0</v>
      </c>
      <c r="U15" s="1" t="s">
        <v>88</v>
      </c>
      <c r="V15" s="1" t="s">
        <v>27</v>
      </c>
      <c r="W15" s="1" t="s">
        <v>1830</v>
      </c>
      <c r="X15" s="1" t="s">
        <v>1836</v>
      </c>
      <c r="Y15" s="1" t="s">
        <v>1836</v>
      </c>
      <c r="Z15" s="1" t="s">
        <v>1836</v>
      </c>
      <c r="AA15" s="75">
        <v>42552</v>
      </c>
      <c r="AB15" s="75">
        <v>45108</v>
      </c>
      <c r="AC15" s="88">
        <v>650000</v>
      </c>
      <c r="AD15" s="88">
        <v>10000000</v>
      </c>
    </row>
    <row r="16" spans="1:30" x14ac:dyDescent="0.4">
      <c r="A16" s="29">
        <v>13</v>
      </c>
      <c r="B16" s="29" t="str">
        <f t="shared" si="0"/>
        <v>013</v>
      </c>
      <c r="C16" s="29" t="str">
        <f t="shared" si="1"/>
        <v>C</v>
      </c>
      <c r="D16" s="29" t="str">
        <f t="shared" si="2"/>
        <v>B</v>
      </c>
      <c r="E16" s="29" t="str">
        <f t="shared" si="3"/>
        <v>F</v>
      </c>
      <c r="F16" s="1" t="s">
        <v>89</v>
      </c>
      <c r="G16" s="1" t="s">
        <v>38</v>
      </c>
      <c r="H16" s="1" t="s">
        <v>45</v>
      </c>
      <c r="I16" s="1" t="s">
        <v>19</v>
      </c>
      <c r="J16" s="1" t="s">
        <v>39</v>
      </c>
      <c r="K16" s="1"/>
      <c r="L16" s="1" t="s">
        <v>90</v>
      </c>
      <c r="M16" s="1" t="s">
        <v>22</v>
      </c>
      <c r="N16" s="1" t="s">
        <v>118</v>
      </c>
      <c r="O16" s="1" t="s">
        <v>62</v>
      </c>
      <c r="P16" s="1" t="s">
        <v>24</v>
      </c>
      <c r="Q16" s="1" t="s">
        <v>91</v>
      </c>
      <c r="R16" s="1" t="s">
        <v>92</v>
      </c>
      <c r="S16" s="75">
        <v>42887</v>
      </c>
      <c r="T16" s="1">
        <v>0</v>
      </c>
      <c r="U16" s="1"/>
      <c r="V16" s="1" t="s">
        <v>27</v>
      </c>
      <c r="W16" s="1" t="s">
        <v>1830</v>
      </c>
      <c r="X16" s="1" t="s">
        <v>45</v>
      </c>
      <c r="Y16" s="1" t="s">
        <v>1832</v>
      </c>
      <c r="Z16" s="1" t="s">
        <v>45</v>
      </c>
      <c r="AA16" s="75">
        <v>43831</v>
      </c>
      <c r="AB16" s="75">
        <v>43831</v>
      </c>
      <c r="AC16" s="88">
        <v>776000</v>
      </c>
      <c r="AD16" s="88">
        <v>11000000</v>
      </c>
    </row>
    <row r="17" spans="1:30" x14ac:dyDescent="0.4">
      <c r="A17" s="29">
        <v>14</v>
      </c>
      <c r="B17" s="29" t="str">
        <f t="shared" si="0"/>
        <v>014</v>
      </c>
      <c r="C17" s="29" t="str">
        <f t="shared" si="1"/>
        <v>C</v>
      </c>
      <c r="D17" s="29" t="str">
        <f t="shared" si="2"/>
        <v>B</v>
      </c>
      <c r="E17" s="29" t="str">
        <f t="shared" si="3"/>
        <v>F</v>
      </c>
      <c r="F17" s="1" t="s">
        <v>93</v>
      </c>
      <c r="G17" s="1" t="s">
        <v>38</v>
      </c>
      <c r="H17" s="1" t="s">
        <v>45</v>
      </c>
      <c r="I17" s="1" t="s">
        <v>19</v>
      </c>
      <c r="J17" s="1" t="s">
        <v>39</v>
      </c>
      <c r="K17" s="1" t="s">
        <v>38</v>
      </c>
      <c r="L17" s="1" t="s">
        <v>94</v>
      </c>
      <c r="M17" s="1" t="s">
        <v>22</v>
      </c>
      <c r="N17" s="1" t="s">
        <v>118</v>
      </c>
      <c r="O17" s="1" t="s">
        <v>62</v>
      </c>
      <c r="P17" s="1" t="s">
        <v>24</v>
      </c>
      <c r="Q17" s="1" t="s">
        <v>95</v>
      </c>
      <c r="R17" s="1" t="s">
        <v>96</v>
      </c>
      <c r="S17" s="75">
        <v>39083</v>
      </c>
      <c r="T17" s="1">
        <v>0</v>
      </c>
      <c r="U17" s="1"/>
      <c r="V17" s="1" t="s">
        <v>27</v>
      </c>
      <c r="W17" s="1" t="s">
        <v>1830</v>
      </c>
      <c r="X17" s="1" t="s">
        <v>45</v>
      </c>
      <c r="Y17" s="1" t="s">
        <v>1832</v>
      </c>
      <c r="Z17" s="1" t="s">
        <v>45</v>
      </c>
      <c r="AA17" s="75">
        <v>43831</v>
      </c>
      <c r="AB17" s="75">
        <v>45383</v>
      </c>
      <c r="AC17" s="88">
        <v>756600</v>
      </c>
      <c r="AD17" s="88">
        <v>5000000</v>
      </c>
    </row>
    <row r="18" spans="1:30" x14ac:dyDescent="0.4">
      <c r="A18" s="29">
        <v>15</v>
      </c>
      <c r="B18" s="29" t="str">
        <f t="shared" si="0"/>
        <v>015</v>
      </c>
      <c r="C18" s="29" t="str">
        <f t="shared" si="1"/>
        <v>C</v>
      </c>
      <c r="D18" s="29" t="str">
        <f t="shared" si="2"/>
        <v>B</v>
      </c>
      <c r="E18" s="29" t="str">
        <f t="shared" si="3"/>
        <v>F</v>
      </c>
      <c r="F18" s="1" t="s">
        <v>97</v>
      </c>
      <c r="G18" s="1" t="s">
        <v>38</v>
      </c>
      <c r="H18" s="1" t="s">
        <v>45</v>
      </c>
      <c r="I18" s="1" t="s">
        <v>19</v>
      </c>
      <c r="J18" s="1" t="s">
        <v>39</v>
      </c>
      <c r="K18" s="1"/>
      <c r="L18" s="1" t="s">
        <v>98</v>
      </c>
      <c r="M18" s="1" t="s">
        <v>22</v>
      </c>
      <c r="N18" s="1" t="s">
        <v>118</v>
      </c>
      <c r="O18" s="1" t="s">
        <v>55</v>
      </c>
      <c r="P18" s="1" t="s">
        <v>24</v>
      </c>
      <c r="Q18" s="1" t="s">
        <v>99</v>
      </c>
      <c r="R18" s="1" t="s">
        <v>100</v>
      </c>
      <c r="S18" s="75">
        <v>44378</v>
      </c>
      <c r="T18" s="1">
        <v>0</v>
      </c>
      <c r="U18" s="1"/>
      <c r="V18" s="1" t="s">
        <v>27</v>
      </c>
      <c r="W18" s="1" t="s">
        <v>1830</v>
      </c>
      <c r="X18" s="1" t="s">
        <v>45</v>
      </c>
      <c r="Y18" s="1" t="s">
        <v>1837</v>
      </c>
      <c r="Z18" s="1" t="s">
        <v>45</v>
      </c>
      <c r="AA18" s="75">
        <v>44409</v>
      </c>
      <c r="AB18" s="75">
        <v>44409</v>
      </c>
      <c r="AC18" s="88">
        <v>776000</v>
      </c>
      <c r="AD18" s="88">
        <v>28000000</v>
      </c>
    </row>
    <row r="19" spans="1:30" ht="17.399999999999999" customHeight="1" x14ac:dyDescent="0.4">
      <c r="A19" s="29">
        <v>16</v>
      </c>
      <c r="B19" s="29" t="str">
        <f t="shared" si="0"/>
        <v>016</v>
      </c>
      <c r="C19" s="29" t="str">
        <f t="shared" si="1"/>
        <v>C</v>
      </c>
      <c r="D19" s="29" t="str">
        <f t="shared" si="2"/>
        <v>B</v>
      </c>
      <c r="E19" s="29" t="str">
        <f t="shared" si="3"/>
        <v>F</v>
      </c>
      <c r="F19" s="1" t="s">
        <v>1873</v>
      </c>
      <c r="G19" s="1" t="s">
        <v>101</v>
      </c>
      <c r="H19" s="1" t="s">
        <v>101</v>
      </c>
      <c r="I19" s="1" t="s">
        <v>19</v>
      </c>
      <c r="J19" s="1" t="s">
        <v>1362</v>
      </c>
      <c r="K19" s="1" t="s">
        <v>101</v>
      </c>
      <c r="L19" s="1" t="s">
        <v>102</v>
      </c>
      <c r="M19" s="1" t="s">
        <v>22</v>
      </c>
      <c r="N19" s="1" t="s">
        <v>81</v>
      </c>
      <c r="O19" s="1" t="s">
        <v>62</v>
      </c>
      <c r="P19" s="1" t="s">
        <v>24</v>
      </c>
      <c r="Q19" s="1" t="s">
        <v>103</v>
      </c>
      <c r="R19" s="1" t="s">
        <v>104</v>
      </c>
      <c r="S19" s="75">
        <v>42736</v>
      </c>
      <c r="T19" s="1">
        <v>0</v>
      </c>
      <c r="U19" s="1"/>
      <c r="V19" s="1" t="s">
        <v>36</v>
      </c>
      <c r="W19" s="1"/>
      <c r="X19" s="1"/>
      <c r="Y19" s="1"/>
      <c r="Z19" s="1" t="s">
        <v>1836</v>
      </c>
      <c r="AA19" s="75">
        <v>42736</v>
      </c>
      <c r="AB19" s="75">
        <v>45597</v>
      </c>
      <c r="AC19" s="88">
        <v>450000</v>
      </c>
      <c r="AD19" s="88">
        <v>18600000</v>
      </c>
    </row>
    <row r="20" spans="1:30" ht="17.399999999999999" customHeight="1" x14ac:dyDescent="0.4">
      <c r="A20" s="29">
        <v>17</v>
      </c>
      <c r="B20" s="29" t="str">
        <f t="shared" si="0"/>
        <v>017</v>
      </c>
      <c r="C20" s="29" t="str">
        <f t="shared" si="1"/>
        <v>C</v>
      </c>
      <c r="D20" s="29" t="str">
        <f t="shared" si="2"/>
        <v>B</v>
      </c>
      <c r="E20" s="29" t="str">
        <f t="shared" si="3"/>
        <v>F</v>
      </c>
      <c r="F20" s="1" t="s">
        <v>1874</v>
      </c>
      <c r="G20" s="1" t="s">
        <v>38</v>
      </c>
      <c r="H20" s="1" t="s">
        <v>45</v>
      </c>
      <c r="I20" s="1" t="s">
        <v>19</v>
      </c>
      <c r="J20" s="1" t="s">
        <v>39</v>
      </c>
      <c r="K20" s="1"/>
      <c r="L20" s="1" t="s">
        <v>105</v>
      </c>
      <c r="M20" s="1" t="s">
        <v>22</v>
      </c>
      <c r="N20" s="1" t="s">
        <v>81</v>
      </c>
      <c r="O20" s="1" t="s">
        <v>62</v>
      </c>
      <c r="P20" s="1" t="s">
        <v>24</v>
      </c>
      <c r="Q20" s="1" t="s">
        <v>103</v>
      </c>
      <c r="R20" s="1" t="s">
        <v>106</v>
      </c>
      <c r="S20" s="75">
        <v>42795</v>
      </c>
      <c r="T20" s="1">
        <v>0</v>
      </c>
      <c r="U20" s="1"/>
      <c r="V20" s="1" t="s">
        <v>27</v>
      </c>
      <c r="W20" s="1" t="s">
        <v>1830</v>
      </c>
      <c r="X20" s="1" t="s">
        <v>45</v>
      </c>
      <c r="Y20" s="1" t="s">
        <v>1837</v>
      </c>
      <c r="Z20" s="1" t="s">
        <v>45</v>
      </c>
      <c r="AA20" s="75">
        <v>42795</v>
      </c>
      <c r="AB20" s="75">
        <v>42795</v>
      </c>
      <c r="AC20" s="88">
        <v>582000</v>
      </c>
      <c r="AD20" s="88">
        <v>12920000</v>
      </c>
    </row>
    <row r="21" spans="1:30" ht="17.399999999999999" customHeight="1" x14ac:dyDescent="0.4">
      <c r="A21" s="29">
        <v>18</v>
      </c>
      <c r="B21" s="29" t="str">
        <f t="shared" si="0"/>
        <v>018</v>
      </c>
      <c r="C21" s="29" t="str">
        <f t="shared" si="1"/>
        <v>C</v>
      </c>
      <c r="D21" s="29" t="str">
        <f t="shared" si="2"/>
        <v>B</v>
      </c>
      <c r="E21" s="29" t="str">
        <f t="shared" si="3"/>
        <v>F</v>
      </c>
      <c r="F21" s="1" t="s">
        <v>1875</v>
      </c>
      <c r="G21" s="1" t="s">
        <v>38</v>
      </c>
      <c r="H21" s="1" t="s">
        <v>45</v>
      </c>
      <c r="I21" s="1" t="s">
        <v>19</v>
      </c>
      <c r="J21" s="1" t="s">
        <v>39</v>
      </c>
      <c r="K21" s="1"/>
      <c r="L21" s="1" t="s">
        <v>107</v>
      </c>
      <c r="M21" s="1" t="s">
        <v>22</v>
      </c>
      <c r="N21" s="1" t="s">
        <v>81</v>
      </c>
      <c r="O21" s="1" t="s">
        <v>62</v>
      </c>
      <c r="P21" s="1" t="s">
        <v>24</v>
      </c>
      <c r="Q21" s="1" t="s">
        <v>103</v>
      </c>
      <c r="R21" s="1" t="s">
        <v>108</v>
      </c>
      <c r="S21" s="75">
        <v>44228</v>
      </c>
      <c r="T21" s="1">
        <v>0</v>
      </c>
      <c r="U21" s="1"/>
      <c r="V21" s="1" t="s">
        <v>27</v>
      </c>
      <c r="W21" s="1" t="s">
        <v>1830</v>
      </c>
      <c r="X21" s="1" t="s">
        <v>45</v>
      </c>
      <c r="Y21" s="1" t="s">
        <v>1838</v>
      </c>
      <c r="Z21" s="1" t="s">
        <v>45</v>
      </c>
      <c r="AA21" s="75">
        <v>44243</v>
      </c>
      <c r="AB21" s="75">
        <v>44243</v>
      </c>
      <c r="AC21" s="88">
        <v>630000</v>
      </c>
      <c r="AD21" s="88">
        <v>8500000</v>
      </c>
    </row>
    <row r="22" spans="1:30" x14ac:dyDescent="0.4">
      <c r="A22" s="29">
        <v>19</v>
      </c>
      <c r="B22" s="29" t="str">
        <f t="shared" si="0"/>
        <v>019</v>
      </c>
      <c r="C22" s="29" t="str">
        <f t="shared" si="1"/>
        <v>C</v>
      </c>
      <c r="D22" s="29" t="str">
        <f t="shared" si="2"/>
        <v>B</v>
      </c>
      <c r="E22" s="29" t="str">
        <f t="shared" si="3"/>
        <v>F</v>
      </c>
      <c r="F22" s="1" t="s">
        <v>109</v>
      </c>
      <c r="G22" s="1" t="s">
        <v>1836</v>
      </c>
      <c r="H22" s="1" t="s">
        <v>1693</v>
      </c>
      <c r="I22" s="1" t="s">
        <v>736</v>
      </c>
      <c r="J22" s="1" t="s">
        <v>31</v>
      </c>
      <c r="K22" s="1" t="s">
        <v>1707</v>
      </c>
      <c r="L22" s="1" t="s">
        <v>110</v>
      </c>
      <c r="M22" s="1" t="s">
        <v>22</v>
      </c>
      <c r="N22" s="1" t="s">
        <v>118</v>
      </c>
      <c r="O22" s="1" t="s">
        <v>62</v>
      </c>
      <c r="P22" s="1" t="s">
        <v>24</v>
      </c>
      <c r="Q22" s="1" t="s">
        <v>63</v>
      </c>
      <c r="R22" s="1" t="s">
        <v>111</v>
      </c>
      <c r="S22" s="75">
        <v>40909</v>
      </c>
      <c r="T22" s="1">
        <v>0</v>
      </c>
      <c r="U22" s="1"/>
      <c r="V22" s="1" t="s">
        <v>36</v>
      </c>
      <c r="W22" s="1"/>
      <c r="X22" s="1"/>
      <c r="Y22" s="1"/>
      <c r="Z22" s="1" t="s">
        <v>1836</v>
      </c>
      <c r="AA22" s="75">
        <v>44013</v>
      </c>
      <c r="AB22" s="75">
        <v>45413</v>
      </c>
      <c r="AC22" s="88">
        <v>0</v>
      </c>
      <c r="AD22" s="88">
        <v>8500000</v>
      </c>
    </row>
    <row r="23" spans="1:30" x14ac:dyDescent="0.4">
      <c r="A23" s="29">
        <v>20</v>
      </c>
      <c r="B23" s="29" t="str">
        <f t="shared" si="0"/>
        <v>020</v>
      </c>
      <c r="C23" s="29" t="str">
        <f t="shared" si="1"/>
        <v>C</v>
      </c>
      <c r="D23" s="29" t="str">
        <f t="shared" si="2"/>
        <v>B</v>
      </c>
      <c r="E23" s="29" t="str">
        <f t="shared" si="3"/>
        <v>T</v>
      </c>
      <c r="F23" s="1" t="s">
        <v>112</v>
      </c>
      <c r="G23" s="1" t="s">
        <v>38</v>
      </c>
      <c r="H23" s="1" t="s">
        <v>45</v>
      </c>
      <c r="I23" s="1" t="s">
        <v>19</v>
      </c>
      <c r="J23" s="1" t="s">
        <v>39</v>
      </c>
      <c r="K23" s="1"/>
      <c r="L23" s="1" t="s">
        <v>113</v>
      </c>
      <c r="M23" s="1" t="s">
        <v>22</v>
      </c>
      <c r="N23" s="1" t="s">
        <v>1876</v>
      </c>
      <c r="O23" s="1" t="s">
        <v>114</v>
      </c>
      <c r="P23" s="1" t="s">
        <v>24</v>
      </c>
      <c r="Q23" s="1"/>
      <c r="R23" s="1" t="s">
        <v>115</v>
      </c>
      <c r="S23" s="75">
        <v>42064</v>
      </c>
      <c r="T23" s="1">
        <v>0</v>
      </c>
      <c r="U23" s="1"/>
      <c r="V23" s="1" t="s">
        <v>36</v>
      </c>
      <c r="W23" s="1"/>
      <c r="X23" s="1"/>
      <c r="Y23" s="1"/>
      <c r="Z23" s="1" t="s">
        <v>45</v>
      </c>
      <c r="AA23" s="75">
        <v>42095</v>
      </c>
      <c r="AB23" s="75">
        <v>42095</v>
      </c>
      <c r="AC23" s="88">
        <v>388000</v>
      </c>
      <c r="AD23" s="88">
        <v>19200000</v>
      </c>
    </row>
    <row r="24" spans="1:30" x14ac:dyDescent="0.4">
      <c r="A24" s="29">
        <v>21</v>
      </c>
      <c r="B24" s="29" t="str">
        <f t="shared" si="0"/>
        <v>021</v>
      </c>
      <c r="C24" s="29" t="str">
        <f t="shared" si="1"/>
        <v>C</v>
      </c>
      <c r="D24" s="29" t="str">
        <f t="shared" si="2"/>
        <v>B</v>
      </c>
      <c r="E24" s="29" t="str">
        <f t="shared" si="3"/>
        <v>T</v>
      </c>
      <c r="F24" s="1" t="s">
        <v>116</v>
      </c>
      <c r="G24" s="1" t="s">
        <v>38</v>
      </c>
      <c r="H24" s="1" t="s">
        <v>45</v>
      </c>
      <c r="I24" s="1" t="s">
        <v>19</v>
      </c>
      <c r="J24" s="1" t="s">
        <v>39</v>
      </c>
      <c r="K24" s="1"/>
      <c r="L24" s="1" t="s">
        <v>117</v>
      </c>
      <c r="M24" s="1" t="s">
        <v>22</v>
      </c>
      <c r="N24" s="1" t="s">
        <v>1876</v>
      </c>
      <c r="O24" s="1" t="s">
        <v>114</v>
      </c>
      <c r="P24" s="1" t="s">
        <v>24</v>
      </c>
      <c r="Q24" s="1"/>
      <c r="R24" s="1" t="s">
        <v>119</v>
      </c>
      <c r="S24" s="75">
        <v>44105</v>
      </c>
      <c r="T24" s="1">
        <v>0</v>
      </c>
      <c r="U24" s="1"/>
      <c r="V24" s="1" t="s">
        <v>36</v>
      </c>
      <c r="W24" s="1"/>
      <c r="X24" s="1"/>
      <c r="Y24" s="1"/>
      <c r="Z24" s="1" t="s">
        <v>45</v>
      </c>
      <c r="AA24" s="75">
        <v>44105</v>
      </c>
      <c r="AB24" s="75">
        <v>44105</v>
      </c>
      <c r="AC24" s="88">
        <v>400000</v>
      </c>
      <c r="AD24" s="88">
        <v>28000000</v>
      </c>
    </row>
    <row r="25" spans="1:30" x14ac:dyDescent="0.4">
      <c r="A25" s="29">
        <v>22</v>
      </c>
      <c r="B25" s="29" t="str">
        <f t="shared" si="0"/>
        <v>022</v>
      </c>
      <c r="C25" s="29" t="str">
        <f t="shared" si="1"/>
        <v>T</v>
      </c>
      <c r="D25" s="29" t="str">
        <f t="shared" si="2"/>
        <v>B</v>
      </c>
      <c r="E25" s="29" t="str">
        <f t="shared" si="3"/>
        <v>F</v>
      </c>
      <c r="F25" s="1" t="s">
        <v>120</v>
      </c>
      <c r="G25" s="1" t="s">
        <v>121</v>
      </c>
      <c r="H25" s="1" t="s">
        <v>121</v>
      </c>
      <c r="I25" s="1" t="s">
        <v>19</v>
      </c>
      <c r="J25" s="1" t="s">
        <v>31</v>
      </c>
      <c r="K25" s="1" t="s">
        <v>122</v>
      </c>
      <c r="L25" s="1" t="s">
        <v>123</v>
      </c>
      <c r="M25" s="1" t="s">
        <v>22</v>
      </c>
      <c r="N25" s="1" t="s">
        <v>118</v>
      </c>
      <c r="O25" s="1" t="s">
        <v>33</v>
      </c>
      <c r="P25" s="1" t="s">
        <v>124</v>
      </c>
      <c r="Q25" s="1"/>
      <c r="R25" s="1" t="s">
        <v>125</v>
      </c>
      <c r="S25" s="75">
        <v>41275</v>
      </c>
      <c r="T25" s="1">
        <v>0</v>
      </c>
      <c r="U25" s="1"/>
      <c r="V25" s="1" t="s">
        <v>36</v>
      </c>
      <c r="W25" s="1"/>
      <c r="X25" s="1"/>
      <c r="Y25" s="1"/>
      <c r="Z25" s="1" t="s">
        <v>1836</v>
      </c>
      <c r="AA25" s="75">
        <v>43282</v>
      </c>
      <c r="AB25" s="75">
        <v>43282</v>
      </c>
      <c r="AC25" s="88">
        <v>500000</v>
      </c>
      <c r="AD25" s="88">
        <v>19800000</v>
      </c>
    </row>
    <row r="26" spans="1:30" ht="17.399999999999999" customHeight="1" x14ac:dyDescent="0.4">
      <c r="A26" s="29">
        <v>23</v>
      </c>
      <c r="B26" s="29" t="str">
        <f t="shared" si="0"/>
        <v>023</v>
      </c>
      <c r="C26" s="29" t="str">
        <f t="shared" si="1"/>
        <v>T</v>
      </c>
      <c r="D26" s="29" t="str">
        <f t="shared" si="2"/>
        <v>B</v>
      </c>
      <c r="E26" s="29" t="str">
        <f t="shared" si="3"/>
        <v>F</v>
      </c>
      <c r="F26" s="1" t="s">
        <v>126</v>
      </c>
      <c r="G26" s="1" t="s">
        <v>121</v>
      </c>
      <c r="H26" s="1" t="s">
        <v>121</v>
      </c>
      <c r="I26" s="1" t="s">
        <v>19</v>
      </c>
      <c r="J26" s="1" t="s">
        <v>31</v>
      </c>
      <c r="K26" s="1" t="s">
        <v>127</v>
      </c>
      <c r="L26" s="1" t="s">
        <v>128</v>
      </c>
      <c r="M26" s="1" t="s">
        <v>22</v>
      </c>
      <c r="N26" s="1" t="s">
        <v>81</v>
      </c>
      <c r="O26" s="1" t="s">
        <v>129</v>
      </c>
      <c r="P26" s="1" t="s">
        <v>124</v>
      </c>
      <c r="Q26" s="1"/>
      <c r="R26" s="1" t="s">
        <v>130</v>
      </c>
      <c r="S26" s="75">
        <v>38718</v>
      </c>
      <c r="T26" s="1">
        <v>0</v>
      </c>
      <c r="U26" s="1"/>
      <c r="V26" s="1" t="s">
        <v>36</v>
      </c>
      <c r="W26" s="1"/>
      <c r="X26" s="1"/>
      <c r="Y26" s="1"/>
      <c r="Z26" s="1" t="s">
        <v>1836</v>
      </c>
      <c r="AA26" s="75">
        <v>43282</v>
      </c>
      <c r="AB26" s="75">
        <v>43282</v>
      </c>
      <c r="AC26" s="88">
        <v>350000</v>
      </c>
      <c r="AD26" s="88">
        <v>4421000</v>
      </c>
    </row>
    <row r="27" spans="1:30" x14ac:dyDescent="0.4">
      <c r="A27" s="29">
        <v>24</v>
      </c>
      <c r="B27" s="29" t="str">
        <f t="shared" si="0"/>
        <v>024</v>
      </c>
      <c r="C27" s="29" t="str">
        <f t="shared" si="1"/>
        <v>T</v>
      </c>
      <c r="D27" s="29" t="str">
        <f t="shared" si="2"/>
        <v>B</v>
      </c>
      <c r="E27" s="29" t="str">
        <f t="shared" si="3"/>
        <v>F</v>
      </c>
      <c r="F27" s="1" t="s">
        <v>131</v>
      </c>
      <c r="G27" s="1" t="s">
        <v>1779</v>
      </c>
      <c r="H27" s="1" t="s">
        <v>1693</v>
      </c>
      <c r="I27" s="1" t="s">
        <v>276</v>
      </c>
      <c r="J27" s="1" t="s">
        <v>1362</v>
      </c>
      <c r="K27" s="1" t="s">
        <v>1780</v>
      </c>
      <c r="L27" s="1" t="s">
        <v>1780</v>
      </c>
      <c r="M27" s="1" t="s">
        <v>22</v>
      </c>
      <c r="N27" s="1" t="s">
        <v>118</v>
      </c>
      <c r="O27" s="1" t="s">
        <v>33</v>
      </c>
      <c r="P27" s="1" t="s">
        <v>124</v>
      </c>
      <c r="Q27" s="1"/>
      <c r="R27" s="1" t="s">
        <v>132</v>
      </c>
      <c r="S27" s="75">
        <v>41275</v>
      </c>
      <c r="T27" s="1">
        <v>0</v>
      </c>
      <c r="U27" s="1"/>
      <c r="V27" s="1" t="s">
        <v>36</v>
      </c>
      <c r="W27" s="1"/>
      <c r="X27" s="1"/>
      <c r="Y27" s="1"/>
      <c r="Z27" s="1" t="s">
        <v>1836</v>
      </c>
      <c r="AA27" s="75">
        <v>43282</v>
      </c>
      <c r="AB27" s="75">
        <v>45909</v>
      </c>
      <c r="AC27" s="88">
        <v>0</v>
      </c>
      <c r="AD27" s="88">
        <v>19700000</v>
      </c>
    </row>
    <row r="28" spans="1:30" ht="17.399999999999999" customHeight="1" x14ac:dyDescent="0.4">
      <c r="A28" s="29">
        <v>25</v>
      </c>
      <c r="B28" s="29" t="str">
        <f t="shared" si="0"/>
        <v>025</v>
      </c>
      <c r="C28" s="29" t="str">
        <f t="shared" si="1"/>
        <v>T</v>
      </c>
      <c r="D28" s="29" t="str">
        <f t="shared" si="2"/>
        <v>B</v>
      </c>
      <c r="E28" s="29" t="str">
        <f t="shared" si="3"/>
        <v>F</v>
      </c>
      <c r="F28" s="1" t="s">
        <v>133</v>
      </c>
      <c r="G28" s="1" t="s">
        <v>121</v>
      </c>
      <c r="H28" s="1" t="s">
        <v>121</v>
      </c>
      <c r="I28" s="1" t="s">
        <v>19</v>
      </c>
      <c r="J28" s="1" t="s">
        <v>31</v>
      </c>
      <c r="K28" s="1" t="s">
        <v>134</v>
      </c>
      <c r="L28" s="1" t="s">
        <v>135</v>
      </c>
      <c r="M28" s="1" t="s">
        <v>22</v>
      </c>
      <c r="N28" s="1" t="s">
        <v>81</v>
      </c>
      <c r="O28" s="1" t="s">
        <v>136</v>
      </c>
      <c r="P28" s="1" t="s">
        <v>124</v>
      </c>
      <c r="Q28" s="1"/>
      <c r="R28" s="1" t="s">
        <v>137</v>
      </c>
      <c r="S28" s="75">
        <v>38718</v>
      </c>
      <c r="T28" s="1">
        <v>0</v>
      </c>
      <c r="U28" s="1"/>
      <c r="V28" s="1" t="s">
        <v>36</v>
      </c>
      <c r="W28" s="1"/>
      <c r="X28" s="1"/>
      <c r="Y28" s="1"/>
      <c r="Z28" s="1" t="s">
        <v>1836</v>
      </c>
      <c r="AA28" s="75">
        <v>43282</v>
      </c>
      <c r="AB28" s="75">
        <v>43282</v>
      </c>
      <c r="AC28" s="88">
        <v>350000</v>
      </c>
      <c r="AD28" s="88">
        <v>3300000</v>
      </c>
    </row>
    <row r="29" spans="1:30" x14ac:dyDescent="0.4">
      <c r="A29" s="29">
        <v>26</v>
      </c>
      <c r="B29" s="29" t="str">
        <f t="shared" si="0"/>
        <v>026</v>
      </c>
      <c r="C29" s="29" t="str">
        <f t="shared" si="1"/>
        <v>C</v>
      </c>
      <c r="D29" s="29" t="str">
        <f t="shared" si="2"/>
        <v>B</v>
      </c>
      <c r="E29" s="29" t="str">
        <f t="shared" si="3"/>
        <v>F</v>
      </c>
      <c r="F29" s="1" t="s">
        <v>138</v>
      </c>
      <c r="G29" s="1" t="s">
        <v>121</v>
      </c>
      <c r="H29" s="1" t="s">
        <v>121</v>
      </c>
      <c r="I29" s="1" t="s">
        <v>19</v>
      </c>
      <c r="J29" s="1" t="s">
        <v>31</v>
      </c>
      <c r="K29" s="1" t="s">
        <v>139</v>
      </c>
      <c r="L29" s="1" t="s">
        <v>140</v>
      </c>
      <c r="M29" s="1" t="s">
        <v>22</v>
      </c>
      <c r="N29" s="1" t="s">
        <v>118</v>
      </c>
      <c r="O29" s="1" t="s">
        <v>23</v>
      </c>
      <c r="P29" s="1" t="s">
        <v>24</v>
      </c>
      <c r="Q29" s="1" t="s">
        <v>25</v>
      </c>
      <c r="R29" s="1" t="s">
        <v>141</v>
      </c>
      <c r="S29" s="75">
        <v>41640</v>
      </c>
      <c r="T29" s="1">
        <v>0</v>
      </c>
      <c r="U29" s="1"/>
      <c r="V29" s="1" t="s">
        <v>36</v>
      </c>
      <c r="W29" s="1"/>
      <c r="X29" s="1"/>
      <c r="Y29" s="1"/>
      <c r="Z29" s="1" t="s">
        <v>1836</v>
      </c>
      <c r="AA29" s="75">
        <v>43282</v>
      </c>
      <c r="AB29" s="75">
        <v>43282</v>
      </c>
      <c r="AC29" s="88">
        <v>700000</v>
      </c>
      <c r="AD29" s="88">
        <v>32920000</v>
      </c>
    </row>
    <row r="30" spans="1:30" ht="17.399999999999999" customHeight="1" x14ac:dyDescent="0.4">
      <c r="A30" s="29">
        <v>27</v>
      </c>
      <c r="B30" s="29" t="str">
        <f t="shared" si="0"/>
        <v>027</v>
      </c>
      <c r="C30" s="29" t="str">
        <f t="shared" si="1"/>
        <v>T</v>
      </c>
      <c r="D30" s="29" t="str">
        <f t="shared" si="2"/>
        <v>B</v>
      </c>
      <c r="E30" s="29" t="str">
        <f t="shared" si="3"/>
        <v>F</v>
      </c>
      <c r="F30" s="1" t="s">
        <v>142</v>
      </c>
      <c r="G30" s="1" t="s">
        <v>121</v>
      </c>
      <c r="H30" s="1" t="s">
        <v>121</v>
      </c>
      <c r="I30" s="1" t="s">
        <v>19</v>
      </c>
      <c r="J30" s="1" t="s">
        <v>31</v>
      </c>
      <c r="K30" s="1" t="s">
        <v>143</v>
      </c>
      <c r="L30" s="1" t="s">
        <v>144</v>
      </c>
      <c r="M30" s="1" t="s">
        <v>22</v>
      </c>
      <c r="N30" s="1" t="s">
        <v>81</v>
      </c>
      <c r="O30" s="1" t="s">
        <v>129</v>
      </c>
      <c r="P30" s="1" t="s">
        <v>124</v>
      </c>
      <c r="Q30" s="1"/>
      <c r="R30" s="1" t="s">
        <v>145</v>
      </c>
      <c r="S30" s="75">
        <v>41275</v>
      </c>
      <c r="T30" s="1">
        <v>0</v>
      </c>
      <c r="U30" s="1"/>
      <c r="V30" s="1" t="s">
        <v>36</v>
      </c>
      <c r="W30" s="1"/>
      <c r="X30" s="1"/>
      <c r="Y30" s="1"/>
      <c r="Z30" s="1" t="s">
        <v>1836</v>
      </c>
      <c r="AA30" s="75">
        <v>43282</v>
      </c>
      <c r="AB30" s="75">
        <v>43282</v>
      </c>
      <c r="AC30" s="88">
        <v>350000</v>
      </c>
      <c r="AD30" s="88">
        <v>6900000</v>
      </c>
    </row>
    <row r="31" spans="1:30" ht="17.399999999999999" customHeight="1" x14ac:dyDescent="0.4">
      <c r="A31" s="29">
        <v>28</v>
      </c>
      <c r="B31" s="29" t="str">
        <f t="shared" si="0"/>
        <v>028</v>
      </c>
      <c r="C31" s="29" t="str">
        <f t="shared" si="1"/>
        <v>C</v>
      </c>
      <c r="D31" s="29" t="str">
        <f t="shared" si="2"/>
        <v>B</v>
      </c>
      <c r="E31" s="29" t="str">
        <f t="shared" si="3"/>
        <v>F</v>
      </c>
      <c r="F31" s="1" t="s">
        <v>146</v>
      </c>
      <c r="G31" s="1" t="s">
        <v>1259</v>
      </c>
      <c r="H31" s="1" t="s">
        <v>45</v>
      </c>
      <c r="I31" s="1" t="s">
        <v>19</v>
      </c>
      <c r="J31" s="1" t="s">
        <v>1719</v>
      </c>
      <c r="K31" s="1" t="s">
        <v>1194</v>
      </c>
      <c r="L31" s="1" t="s">
        <v>1341</v>
      </c>
      <c r="M31" s="1" t="s">
        <v>22</v>
      </c>
      <c r="N31" s="1" t="s">
        <v>81</v>
      </c>
      <c r="O31" s="1" t="s">
        <v>62</v>
      </c>
      <c r="P31" s="1" t="s">
        <v>24</v>
      </c>
      <c r="Q31" s="1" t="s">
        <v>147</v>
      </c>
      <c r="R31" s="1" t="s">
        <v>148</v>
      </c>
      <c r="S31" s="75">
        <v>42005</v>
      </c>
      <c r="T31" s="1">
        <v>0</v>
      </c>
      <c r="U31" s="1"/>
      <c r="V31" s="1" t="s">
        <v>27</v>
      </c>
      <c r="W31" s="1" t="s">
        <v>1830</v>
      </c>
      <c r="X31" s="1" t="s">
        <v>1836</v>
      </c>
      <c r="Y31" s="1" t="s">
        <v>1259</v>
      </c>
      <c r="Z31" s="1" t="s">
        <v>1836</v>
      </c>
      <c r="AA31" s="75">
        <v>43282</v>
      </c>
      <c r="AB31" s="75">
        <v>45748</v>
      </c>
      <c r="AC31" s="88">
        <v>442000</v>
      </c>
      <c r="AD31" s="88">
        <v>4121000</v>
      </c>
    </row>
    <row r="32" spans="1:30" ht="17.399999999999999" customHeight="1" x14ac:dyDescent="0.4">
      <c r="A32" s="29">
        <v>29</v>
      </c>
      <c r="B32" s="29" t="str">
        <f t="shared" si="0"/>
        <v>029</v>
      </c>
      <c r="C32" s="29" t="str">
        <f t="shared" si="1"/>
        <v>T</v>
      </c>
      <c r="D32" s="29" t="str">
        <f t="shared" si="2"/>
        <v>B</v>
      </c>
      <c r="E32" s="29" t="str">
        <f t="shared" si="3"/>
        <v>F</v>
      </c>
      <c r="F32" s="1" t="s">
        <v>149</v>
      </c>
      <c r="G32" s="1" t="s">
        <v>121</v>
      </c>
      <c r="H32" s="1" t="s">
        <v>121</v>
      </c>
      <c r="I32" s="1" t="s">
        <v>19</v>
      </c>
      <c r="J32" s="1" t="s">
        <v>31</v>
      </c>
      <c r="K32" s="1" t="s">
        <v>150</v>
      </c>
      <c r="L32" s="1" t="s">
        <v>151</v>
      </c>
      <c r="M32" s="1" t="s">
        <v>22</v>
      </c>
      <c r="N32" s="1" t="s">
        <v>81</v>
      </c>
      <c r="O32" s="1" t="s">
        <v>136</v>
      </c>
      <c r="P32" s="1" t="s">
        <v>124</v>
      </c>
      <c r="Q32" s="1"/>
      <c r="R32" s="1" t="s">
        <v>152</v>
      </c>
      <c r="S32" s="75">
        <v>38353</v>
      </c>
      <c r="T32" s="1">
        <v>0</v>
      </c>
      <c r="U32" s="1"/>
      <c r="V32" s="1" t="s">
        <v>36</v>
      </c>
      <c r="W32" s="1"/>
      <c r="X32" s="1"/>
      <c r="Y32" s="1"/>
      <c r="Z32" s="1" t="s">
        <v>1836</v>
      </c>
      <c r="AA32" s="75">
        <v>43556</v>
      </c>
      <c r="AB32" s="75">
        <v>43556</v>
      </c>
      <c r="AC32" s="88">
        <v>350000</v>
      </c>
      <c r="AD32" s="88">
        <v>3500000</v>
      </c>
    </row>
    <row r="33" spans="1:30" ht="17.399999999999999" customHeight="1" x14ac:dyDescent="0.4">
      <c r="A33" s="29">
        <v>30</v>
      </c>
      <c r="B33" s="29" t="str">
        <f t="shared" si="0"/>
        <v>030</v>
      </c>
      <c r="C33" s="29" t="str">
        <f t="shared" si="1"/>
        <v>T</v>
      </c>
      <c r="D33" s="29" t="str">
        <f t="shared" si="2"/>
        <v>B</v>
      </c>
      <c r="E33" s="29" t="str">
        <f t="shared" si="3"/>
        <v>F</v>
      </c>
      <c r="F33" s="1" t="s">
        <v>153</v>
      </c>
      <c r="G33" s="1" t="s">
        <v>154</v>
      </c>
      <c r="H33" s="1" t="s">
        <v>154</v>
      </c>
      <c r="I33" s="1" t="s">
        <v>19</v>
      </c>
      <c r="J33" s="1" t="s">
        <v>31</v>
      </c>
      <c r="K33" s="1" t="s">
        <v>155</v>
      </c>
      <c r="L33" s="1" t="s">
        <v>156</v>
      </c>
      <c r="M33" s="1" t="s">
        <v>22</v>
      </c>
      <c r="N33" s="1" t="s">
        <v>81</v>
      </c>
      <c r="O33" s="1" t="s">
        <v>62</v>
      </c>
      <c r="P33" s="1" t="s">
        <v>124</v>
      </c>
      <c r="Q33" s="1"/>
      <c r="R33" s="1" t="s">
        <v>157</v>
      </c>
      <c r="S33" s="75">
        <v>40909</v>
      </c>
      <c r="T33" s="1">
        <v>0</v>
      </c>
      <c r="U33" s="1"/>
      <c r="V33" s="1" t="s">
        <v>36</v>
      </c>
      <c r="W33" s="1"/>
      <c r="X33" s="1"/>
      <c r="Y33" s="1"/>
      <c r="Z33" s="1" t="s">
        <v>1836</v>
      </c>
      <c r="AA33" s="75">
        <v>43282</v>
      </c>
      <c r="AB33" s="75">
        <v>43282</v>
      </c>
      <c r="AC33" s="88">
        <v>350000</v>
      </c>
      <c r="AD33" s="88">
        <v>8400000</v>
      </c>
    </row>
    <row r="34" spans="1:30" ht="17.399999999999999" customHeight="1" x14ac:dyDescent="0.4">
      <c r="A34" s="29">
        <v>31</v>
      </c>
      <c r="B34" s="29" t="str">
        <f t="shared" si="0"/>
        <v>031</v>
      </c>
      <c r="C34" s="29" t="str">
        <f t="shared" si="1"/>
        <v>T</v>
      </c>
      <c r="D34" s="29" t="str">
        <f t="shared" si="2"/>
        <v>B</v>
      </c>
      <c r="E34" s="29" t="str">
        <f t="shared" si="3"/>
        <v>F</v>
      </c>
      <c r="F34" s="1" t="s">
        <v>158</v>
      </c>
      <c r="G34" s="1" t="s">
        <v>154</v>
      </c>
      <c r="H34" s="1" t="s">
        <v>154</v>
      </c>
      <c r="I34" s="1" t="s">
        <v>19</v>
      </c>
      <c r="J34" s="1" t="s">
        <v>31</v>
      </c>
      <c r="K34" s="1" t="s">
        <v>159</v>
      </c>
      <c r="L34" s="1" t="s">
        <v>160</v>
      </c>
      <c r="M34" s="1" t="s">
        <v>22</v>
      </c>
      <c r="N34" s="1" t="s">
        <v>81</v>
      </c>
      <c r="O34" s="1" t="s">
        <v>136</v>
      </c>
      <c r="P34" s="1" t="s">
        <v>124</v>
      </c>
      <c r="Q34" s="1"/>
      <c r="R34" s="1" t="s">
        <v>161</v>
      </c>
      <c r="S34" s="75">
        <v>37622</v>
      </c>
      <c r="T34" s="1">
        <v>0</v>
      </c>
      <c r="U34" s="1"/>
      <c r="V34" s="1" t="s">
        <v>36</v>
      </c>
      <c r="W34" s="1"/>
      <c r="X34" s="1"/>
      <c r="Y34" s="1"/>
      <c r="Z34" s="1" t="s">
        <v>1836</v>
      </c>
      <c r="AA34" s="75">
        <v>43282</v>
      </c>
      <c r="AB34" s="75">
        <v>43282</v>
      </c>
      <c r="AC34" s="88">
        <v>350000</v>
      </c>
      <c r="AD34" s="88">
        <v>3221000</v>
      </c>
    </row>
    <row r="35" spans="1:30" x14ac:dyDescent="0.4">
      <c r="A35" s="29">
        <v>32</v>
      </c>
      <c r="B35" s="29" t="str">
        <f t="shared" si="0"/>
        <v>032</v>
      </c>
      <c r="C35" s="29" t="str">
        <f t="shared" si="1"/>
        <v>T</v>
      </c>
      <c r="D35" s="29" t="str">
        <f t="shared" si="2"/>
        <v>B</v>
      </c>
      <c r="E35" s="29" t="str">
        <f t="shared" si="3"/>
        <v>F</v>
      </c>
      <c r="F35" s="1" t="s">
        <v>162</v>
      </c>
      <c r="G35" s="1" t="s">
        <v>154</v>
      </c>
      <c r="H35" s="1" t="s">
        <v>154</v>
      </c>
      <c r="I35" s="1" t="s">
        <v>19</v>
      </c>
      <c r="J35" s="1" t="s">
        <v>31</v>
      </c>
      <c r="K35" s="1" t="s">
        <v>163</v>
      </c>
      <c r="L35" s="1" t="s">
        <v>164</v>
      </c>
      <c r="M35" s="1" t="s">
        <v>22</v>
      </c>
      <c r="N35" s="1" t="s">
        <v>118</v>
      </c>
      <c r="O35" s="1" t="s">
        <v>33</v>
      </c>
      <c r="P35" s="1" t="s">
        <v>124</v>
      </c>
      <c r="Q35" s="1"/>
      <c r="R35" s="1" t="s">
        <v>165</v>
      </c>
      <c r="S35" s="75">
        <v>40909</v>
      </c>
      <c r="T35" s="1">
        <v>0</v>
      </c>
      <c r="U35" s="1"/>
      <c r="V35" s="1" t="s">
        <v>36</v>
      </c>
      <c r="W35" s="1"/>
      <c r="X35" s="1"/>
      <c r="Y35" s="1"/>
      <c r="Z35" s="1" t="s">
        <v>1836</v>
      </c>
      <c r="AA35" s="75">
        <v>43282</v>
      </c>
      <c r="AB35" s="75">
        <v>43282</v>
      </c>
      <c r="AC35" s="88">
        <v>500000</v>
      </c>
      <c r="AD35" s="88">
        <v>17700000</v>
      </c>
    </row>
    <row r="36" spans="1:30" ht="17.399999999999999" customHeight="1" x14ac:dyDescent="0.4">
      <c r="A36" s="29">
        <v>33</v>
      </c>
      <c r="B36" s="29" t="str">
        <f t="shared" si="0"/>
        <v>033</v>
      </c>
      <c r="C36" s="29" t="str">
        <f t="shared" si="1"/>
        <v>T</v>
      </c>
      <c r="D36" s="29" t="str">
        <f t="shared" si="2"/>
        <v>B</v>
      </c>
      <c r="E36" s="29" t="str">
        <f t="shared" si="3"/>
        <v>F</v>
      </c>
      <c r="F36" s="1" t="s">
        <v>166</v>
      </c>
      <c r="G36" s="1" t="s">
        <v>154</v>
      </c>
      <c r="H36" s="1" t="s">
        <v>154</v>
      </c>
      <c r="I36" s="1" t="s">
        <v>19</v>
      </c>
      <c r="J36" s="1" t="s">
        <v>31</v>
      </c>
      <c r="K36" s="1" t="s">
        <v>163</v>
      </c>
      <c r="L36" s="1" t="s">
        <v>167</v>
      </c>
      <c r="M36" s="1" t="s">
        <v>22</v>
      </c>
      <c r="N36" s="1" t="s">
        <v>81</v>
      </c>
      <c r="O36" s="1" t="s">
        <v>129</v>
      </c>
      <c r="P36" s="1" t="s">
        <v>124</v>
      </c>
      <c r="Q36" s="1"/>
      <c r="R36" s="1" t="s">
        <v>168</v>
      </c>
      <c r="S36" s="75">
        <v>41275</v>
      </c>
      <c r="T36" s="1">
        <v>0</v>
      </c>
      <c r="U36" s="1"/>
      <c r="V36" s="1" t="s">
        <v>36</v>
      </c>
      <c r="W36" s="1"/>
      <c r="X36" s="1"/>
      <c r="Y36" s="1"/>
      <c r="Z36" s="1" t="s">
        <v>1836</v>
      </c>
      <c r="AA36" s="75">
        <v>43282</v>
      </c>
      <c r="AB36" s="75">
        <v>43282</v>
      </c>
      <c r="AC36" s="88">
        <v>350000</v>
      </c>
      <c r="AD36" s="88">
        <v>4321000</v>
      </c>
    </row>
    <row r="37" spans="1:30" ht="17.399999999999999" customHeight="1" x14ac:dyDescent="0.4">
      <c r="A37" s="29">
        <v>34</v>
      </c>
      <c r="B37" s="29" t="str">
        <f t="shared" si="0"/>
        <v>034</v>
      </c>
      <c r="C37" s="29" t="str">
        <f t="shared" si="1"/>
        <v>E</v>
      </c>
      <c r="D37" s="29" t="str">
        <f t="shared" si="2"/>
        <v>B</v>
      </c>
      <c r="E37" s="29" t="str">
        <f t="shared" si="3"/>
        <v>F</v>
      </c>
      <c r="F37" s="1" t="s">
        <v>169</v>
      </c>
      <c r="G37" s="1" t="s">
        <v>154</v>
      </c>
      <c r="H37" s="1" t="s">
        <v>154</v>
      </c>
      <c r="I37" s="1" t="s">
        <v>19</v>
      </c>
      <c r="J37" s="1" t="s">
        <v>31</v>
      </c>
      <c r="K37" s="1" t="s">
        <v>163</v>
      </c>
      <c r="L37" s="1" t="s">
        <v>170</v>
      </c>
      <c r="M37" s="1" t="s">
        <v>22</v>
      </c>
      <c r="N37" s="1" t="s">
        <v>81</v>
      </c>
      <c r="O37" s="1" t="s">
        <v>62</v>
      </c>
      <c r="P37" s="1" t="s">
        <v>171</v>
      </c>
      <c r="Q37" s="1"/>
      <c r="R37" s="1" t="s">
        <v>172</v>
      </c>
      <c r="S37" s="75">
        <v>39448</v>
      </c>
      <c r="T37" s="1">
        <v>0</v>
      </c>
      <c r="U37" s="1"/>
      <c r="V37" s="1" t="s">
        <v>36</v>
      </c>
      <c r="W37" s="1"/>
      <c r="X37" s="1"/>
      <c r="Y37" s="1"/>
      <c r="Z37" s="1" t="s">
        <v>1836</v>
      </c>
      <c r="AA37" s="75">
        <v>43282</v>
      </c>
      <c r="AB37" s="75">
        <v>43282</v>
      </c>
      <c r="AC37" s="88">
        <v>350000</v>
      </c>
      <c r="AD37" s="88">
        <v>5957000</v>
      </c>
    </row>
    <row r="38" spans="1:30" ht="17.399999999999999" customHeight="1" x14ac:dyDescent="0.4">
      <c r="A38" s="29">
        <v>35</v>
      </c>
      <c r="B38" s="29" t="str">
        <f t="shared" si="0"/>
        <v>035</v>
      </c>
      <c r="C38" s="29" t="str">
        <f t="shared" si="1"/>
        <v>T</v>
      </c>
      <c r="D38" s="29" t="str">
        <f t="shared" si="2"/>
        <v>B</v>
      </c>
      <c r="E38" s="29" t="str">
        <f t="shared" si="3"/>
        <v>F</v>
      </c>
      <c r="F38" s="1" t="s">
        <v>173</v>
      </c>
      <c r="G38" s="1" t="s">
        <v>154</v>
      </c>
      <c r="H38" s="1" t="s">
        <v>154</v>
      </c>
      <c r="I38" s="1" t="s">
        <v>19</v>
      </c>
      <c r="J38" s="1" t="s">
        <v>31</v>
      </c>
      <c r="K38" s="1" t="s">
        <v>174</v>
      </c>
      <c r="L38" s="1" t="s">
        <v>175</v>
      </c>
      <c r="M38" s="1" t="s">
        <v>22</v>
      </c>
      <c r="N38" s="1" t="s">
        <v>81</v>
      </c>
      <c r="O38" s="1" t="s">
        <v>129</v>
      </c>
      <c r="P38" s="1" t="s">
        <v>124</v>
      </c>
      <c r="Q38" s="1"/>
      <c r="R38" s="1" t="s">
        <v>176</v>
      </c>
      <c r="S38" s="75">
        <v>37622</v>
      </c>
      <c r="T38" s="1">
        <v>0</v>
      </c>
      <c r="U38" s="1"/>
      <c r="V38" s="1" t="s">
        <v>36</v>
      </c>
      <c r="W38" s="1"/>
      <c r="X38" s="1"/>
      <c r="Y38" s="1"/>
      <c r="Z38" s="1" t="s">
        <v>1836</v>
      </c>
      <c r="AA38" s="75">
        <v>43282</v>
      </c>
      <c r="AB38" s="75">
        <v>43282</v>
      </c>
      <c r="AC38" s="88">
        <v>350000</v>
      </c>
      <c r="AD38" s="88">
        <v>3500000</v>
      </c>
    </row>
    <row r="39" spans="1:30" x14ac:dyDescent="0.4">
      <c r="A39" s="29">
        <v>36</v>
      </c>
      <c r="B39" s="29" t="str">
        <f t="shared" si="0"/>
        <v>036</v>
      </c>
      <c r="C39" s="29" t="str">
        <f t="shared" si="1"/>
        <v>T</v>
      </c>
      <c r="D39" s="29" t="str">
        <f t="shared" si="2"/>
        <v>B</v>
      </c>
      <c r="E39" s="29" t="str">
        <f t="shared" si="3"/>
        <v>F</v>
      </c>
      <c r="F39" s="1" t="s">
        <v>177</v>
      </c>
      <c r="G39" s="1" t="s">
        <v>1734</v>
      </c>
      <c r="H39" s="1" t="s">
        <v>1734</v>
      </c>
      <c r="I39" s="1" t="s">
        <v>19</v>
      </c>
      <c r="J39" s="1" t="s">
        <v>31</v>
      </c>
      <c r="K39" s="1" t="s">
        <v>179</v>
      </c>
      <c r="L39" s="1" t="s">
        <v>180</v>
      </c>
      <c r="M39" s="1" t="s">
        <v>22</v>
      </c>
      <c r="N39" s="1" t="s">
        <v>118</v>
      </c>
      <c r="O39" s="1" t="s">
        <v>33</v>
      </c>
      <c r="P39" s="1" t="s">
        <v>124</v>
      </c>
      <c r="Q39" s="1" t="s">
        <v>181</v>
      </c>
      <c r="R39" s="1" t="s">
        <v>182</v>
      </c>
      <c r="S39" s="75">
        <v>40909</v>
      </c>
      <c r="T39" s="1">
        <v>0</v>
      </c>
      <c r="U39" s="1"/>
      <c r="V39" s="1" t="s">
        <v>36</v>
      </c>
      <c r="W39" s="1"/>
      <c r="X39" s="1"/>
      <c r="Y39" s="1"/>
      <c r="Z39" s="1" t="s">
        <v>1836</v>
      </c>
      <c r="AA39" s="75">
        <v>43282</v>
      </c>
      <c r="AB39" s="75">
        <v>43282</v>
      </c>
      <c r="AC39" s="88">
        <v>484000</v>
      </c>
      <c r="AD39" s="88">
        <v>21020000</v>
      </c>
    </row>
    <row r="40" spans="1:30" x14ac:dyDescent="0.4">
      <c r="A40" s="29">
        <v>37</v>
      </c>
      <c r="B40" s="29" t="str">
        <f t="shared" si="0"/>
        <v>037</v>
      </c>
      <c r="C40" s="29" t="str">
        <f t="shared" si="1"/>
        <v>T</v>
      </c>
      <c r="D40" s="29" t="str">
        <f t="shared" si="2"/>
        <v>B</v>
      </c>
      <c r="E40" s="29" t="str">
        <f t="shared" si="3"/>
        <v>F</v>
      </c>
      <c r="F40" s="1" t="s">
        <v>183</v>
      </c>
      <c r="G40" s="1" t="s">
        <v>1734</v>
      </c>
      <c r="H40" s="1" t="s">
        <v>1734</v>
      </c>
      <c r="I40" s="1" t="s">
        <v>19</v>
      </c>
      <c r="J40" s="1" t="s">
        <v>31</v>
      </c>
      <c r="K40" s="1" t="s">
        <v>184</v>
      </c>
      <c r="L40" s="1" t="s">
        <v>185</v>
      </c>
      <c r="M40" s="1" t="s">
        <v>22</v>
      </c>
      <c r="N40" s="1" t="s">
        <v>118</v>
      </c>
      <c r="O40" s="1" t="s">
        <v>33</v>
      </c>
      <c r="P40" s="1" t="s">
        <v>124</v>
      </c>
      <c r="Q40" s="1" t="s">
        <v>181</v>
      </c>
      <c r="R40" s="1" t="s">
        <v>186</v>
      </c>
      <c r="S40" s="75">
        <v>41275</v>
      </c>
      <c r="T40" s="1">
        <v>0</v>
      </c>
      <c r="U40" s="1"/>
      <c r="V40" s="1" t="s">
        <v>36</v>
      </c>
      <c r="W40" s="1"/>
      <c r="X40" s="1"/>
      <c r="Y40" s="1"/>
      <c r="Z40" s="1" t="s">
        <v>1836</v>
      </c>
      <c r="AA40" s="75">
        <v>43282</v>
      </c>
      <c r="AB40" s="75">
        <v>43282</v>
      </c>
      <c r="AC40" s="88">
        <v>489000</v>
      </c>
      <c r="AD40" s="88">
        <v>18700000</v>
      </c>
    </row>
    <row r="41" spans="1:30" x14ac:dyDescent="0.4">
      <c r="A41" s="29">
        <v>38</v>
      </c>
      <c r="B41" s="29" t="str">
        <f t="shared" si="0"/>
        <v>038</v>
      </c>
      <c r="C41" s="29" t="str">
        <f t="shared" si="1"/>
        <v>T</v>
      </c>
      <c r="D41" s="29" t="str">
        <f t="shared" si="2"/>
        <v>B</v>
      </c>
      <c r="E41" s="29" t="str">
        <f t="shared" si="3"/>
        <v>F</v>
      </c>
      <c r="F41" s="1" t="s">
        <v>187</v>
      </c>
      <c r="G41" s="1" t="s">
        <v>1734</v>
      </c>
      <c r="H41" s="1" t="s">
        <v>1734</v>
      </c>
      <c r="I41" s="1" t="s">
        <v>19</v>
      </c>
      <c r="J41" s="1" t="s">
        <v>31</v>
      </c>
      <c r="K41" s="1" t="s">
        <v>188</v>
      </c>
      <c r="L41" s="1" t="s">
        <v>189</v>
      </c>
      <c r="M41" s="1" t="s">
        <v>22</v>
      </c>
      <c r="N41" s="1" t="s">
        <v>118</v>
      </c>
      <c r="O41" s="1" t="s">
        <v>129</v>
      </c>
      <c r="P41" s="1" t="s">
        <v>124</v>
      </c>
      <c r="Q41" s="1" t="s">
        <v>190</v>
      </c>
      <c r="R41" s="1" t="s">
        <v>191</v>
      </c>
      <c r="S41" s="75">
        <v>40544</v>
      </c>
      <c r="T41" s="1">
        <v>0</v>
      </c>
      <c r="U41" s="1"/>
      <c r="V41" s="1" t="s">
        <v>36</v>
      </c>
      <c r="W41" s="1"/>
      <c r="X41" s="1"/>
      <c r="Y41" s="1"/>
      <c r="Z41" s="1" t="s">
        <v>1836</v>
      </c>
      <c r="AA41" s="75">
        <v>43282</v>
      </c>
      <c r="AB41" s="75">
        <v>43282</v>
      </c>
      <c r="AC41" s="88">
        <v>360000</v>
      </c>
      <c r="AD41" s="88">
        <v>12870000</v>
      </c>
    </row>
    <row r="42" spans="1:30" x14ac:dyDescent="0.4">
      <c r="A42" s="29">
        <v>39</v>
      </c>
      <c r="B42" s="29" t="str">
        <f t="shared" si="0"/>
        <v>039</v>
      </c>
      <c r="C42" s="29" t="str">
        <f t="shared" si="1"/>
        <v>C</v>
      </c>
      <c r="D42" s="29" t="str">
        <f t="shared" si="2"/>
        <v>B</v>
      </c>
      <c r="E42" s="29" t="str">
        <f t="shared" si="3"/>
        <v>F</v>
      </c>
      <c r="F42" s="1" t="s">
        <v>192</v>
      </c>
      <c r="G42" s="1" t="s">
        <v>1734</v>
      </c>
      <c r="H42" s="1" t="s">
        <v>1734</v>
      </c>
      <c r="I42" s="1" t="s">
        <v>19</v>
      </c>
      <c r="J42" s="1" t="s">
        <v>31</v>
      </c>
      <c r="K42" s="1" t="s">
        <v>193</v>
      </c>
      <c r="L42" s="1" t="s">
        <v>194</v>
      </c>
      <c r="M42" s="1" t="s">
        <v>22</v>
      </c>
      <c r="N42" s="1" t="s">
        <v>118</v>
      </c>
      <c r="O42" s="1" t="s">
        <v>23</v>
      </c>
      <c r="P42" s="1" t="s">
        <v>24</v>
      </c>
      <c r="Q42" s="1" t="s">
        <v>25</v>
      </c>
      <c r="R42" s="1" t="s">
        <v>195</v>
      </c>
      <c r="S42" s="75">
        <v>43282</v>
      </c>
      <c r="T42" s="1">
        <v>0</v>
      </c>
      <c r="U42" s="1"/>
      <c r="V42" s="1" t="s">
        <v>36</v>
      </c>
      <c r="W42" s="1"/>
      <c r="X42" s="1"/>
      <c r="Y42" s="1"/>
      <c r="Z42" s="1" t="s">
        <v>1836</v>
      </c>
      <c r="AA42" s="75">
        <v>43282</v>
      </c>
      <c r="AB42" s="75">
        <v>43282</v>
      </c>
      <c r="AC42" s="88">
        <v>646000</v>
      </c>
      <c r="AD42" s="88">
        <v>26450000</v>
      </c>
    </row>
    <row r="43" spans="1:30" x14ac:dyDescent="0.4">
      <c r="A43" s="29">
        <v>40</v>
      </c>
      <c r="B43" s="29" t="str">
        <f t="shared" si="0"/>
        <v>040</v>
      </c>
      <c r="C43" s="29" t="str">
        <f t="shared" si="1"/>
        <v>T</v>
      </c>
      <c r="D43" s="29" t="str">
        <f t="shared" si="2"/>
        <v>B</v>
      </c>
      <c r="E43" s="29" t="str">
        <f t="shared" si="3"/>
        <v>F</v>
      </c>
      <c r="F43" s="1" t="s">
        <v>196</v>
      </c>
      <c r="G43" s="1" t="s">
        <v>1734</v>
      </c>
      <c r="H43" s="1" t="s">
        <v>1734</v>
      </c>
      <c r="I43" s="1" t="s">
        <v>19</v>
      </c>
      <c r="J43" s="1" t="s">
        <v>31</v>
      </c>
      <c r="K43" s="1" t="s">
        <v>197</v>
      </c>
      <c r="L43" s="1" t="s">
        <v>198</v>
      </c>
      <c r="M43" s="1" t="s">
        <v>22</v>
      </c>
      <c r="N43" s="1" t="s">
        <v>118</v>
      </c>
      <c r="O43" s="1" t="s">
        <v>33</v>
      </c>
      <c r="P43" s="1" t="s">
        <v>124</v>
      </c>
      <c r="Q43" s="1" t="s">
        <v>181</v>
      </c>
      <c r="R43" s="1" t="s">
        <v>199</v>
      </c>
      <c r="S43" s="75">
        <v>38718</v>
      </c>
      <c r="T43" s="1">
        <v>0</v>
      </c>
      <c r="U43" s="1"/>
      <c r="V43" s="1" t="s">
        <v>36</v>
      </c>
      <c r="W43" s="1"/>
      <c r="X43" s="1"/>
      <c r="Y43" s="1"/>
      <c r="Z43" s="1" t="s">
        <v>1836</v>
      </c>
      <c r="AA43" s="75">
        <v>43282</v>
      </c>
      <c r="AB43" s="75">
        <v>43282</v>
      </c>
      <c r="AC43" s="88">
        <v>450000</v>
      </c>
      <c r="AD43" s="88">
        <v>14020000</v>
      </c>
    </row>
    <row r="44" spans="1:30" x14ac:dyDescent="0.4">
      <c r="A44" s="29">
        <v>41</v>
      </c>
      <c r="B44" s="29" t="str">
        <f t="shared" si="0"/>
        <v>041</v>
      </c>
      <c r="C44" s="29" t="str">
        <f t="shared" si="1"/>
        <v>C</v>
      </c>
      <c r="D44" s="29" t="str">
        <f t="shared" si="2"/>
        <v>B</v>
      </c>
      <c r="E44" s="29" t="str">
        <f t="shared" si="3"/>
        <v>F</v>
      </c>
      <c r="F44" s="1" t="s">
        <v>200</v>
      </c>
      <c r="G44" s="1" t="s">
        <v>1734</v>
      </c>
      <c r="H44" s="1" t="s">
        <v>1734</v>
      </c>
      <c r="I44" s="1" t="s">
        <v>19</v>
      </c>
      <c r="J44" s="1" t="s">
        <v>31</v>
      </c>
      <c r="K44" s="1" t="s">
        <v>201</v>
      </c>
      <c r="L44" s="1" t="s">
        <v>202</v>
      </c>
      <c r="M44" s="1" t="s">
        <v>22</v>
      </c>
      <c r="N44" s="1" t="s">
        <v>118</v>
      </c>
      <c r="O44" s="1" t="s">
        <v>23</v>
      </c>
      <c r="P44" s="1" t="s">
        <v>24</v>
      </c>
      <c r="Q44" s="1"/>
      <c r="R44" s="1" t="s">
        <v>203</v>
      </c>
      <c r="S44" s="75">
        <v>43282</v>
      </c>
      <c r="T44" s="1">
        <v>0</v>
      </c>
      <c r="U44" s="1"/>
      <c r="V44" s="1" t="s">
        <v>36</v>
      </c>
      <c r="W44" s="1"/>
      <c r="X44" s="1"/>
      <c r="Y44" s="1"/>
      <c r="Z44" s="1" t="s">
        <v>1836</v>
      </c>
      <c r="AA44" s="75">
        <v>43282</v>
      </c>
      <c r="AB44" s="75">
        <v>43282</v>
      </c>
      <c r="AC44" s="88">
        <v>646000</v>
      </c>
      <c r="AD44" s="88">
        <v>26450000</v>
      </c>
    </row>
    <row r="45" spans="1:30" x14ac:dyDescent="0.4">
      <c r="A45" s="29">
        <v>42</v>
      </c>
      <c r="B45" s="29" t="str">
        <f t="shared" si="0"/>
        <v>042</v>
      </c>
      <c r="C45" s="29" t="str">
        <f t="shared" si="1"/>
        <v>T</v>
      </c>
      <c r="D45" s="29" t="str">
        <f t="shared" si="2"/>
        <v>B</v>
      </c>
      <c r="E45" s="29" t="str">
        <f t="shared" si="3"/>
        <v>F</v>
      </c>
      <c r="F45" s="1" t="s">
        <v>204</v>
      </c>
      <c r="G45" s="1" t="s">
        <v>121</v>
      </c>
      <c r="H45" s="1" t="s">
        <v>121</v>
      </c>
      <c r="I45" s="1" t="s">
        <v>19</v>
      </c>
      <c r="J45" s="1" t="s">
        <v>31</v>
      </c>
      <c r="K45" s="1" t="s">
        <v>127</v>
      </c>
      <c r="L45" s="1" t="s">
        <v>205</v>
      </c>
      <c r="M45" s="1" t="s">
        <v>22</v>
      </c>
      <c r="N45" s="1" t="s">
        <v>118</v>
      </c>
      <c r="O45" s="1" t="s">
        <v>33</v>
      </c>
      <c r="P45" s="1" t="s">
        <v>124</v>
      </c>
      <c r="Q45" s="1" t="s">
        <v>181</v>
      </c>
      <c r="R45" s="1" t="s">
        <v>206</v>
      </c>
      <c r="S45" s="75">
        <v>39448</v>
      </c>
      <c r="T45" s="1">
        <v>0</v>
      </c>
      <c r="U45" s="1"/>
      <c r="V45" s="1" t="s">
        <v>36</v>
      </c>
      <c r="W45" s="1"/>
      <c r="X45" s="1"/>
      <c r="Y45" s="1"/>
      <c r="Z45" s="1" t="s">
        <v>1836</v>
      </c>
      <c r="AA45" s="75">
        <v>43282</v>
      </c>
      <c r="AB45" s="75">
        <v>45623</v>
      </c>
      <c r="AC45" s="88">
        <v>500000</v>
      </c>
      <c r="AD45" s="88">
        <v>16400000</v>
      </c>
    </row>
    <row r="46" spans="1:30" x14ac:dyDescent="0.4">
      <c r="A46" s="29">
        <v>43</v>
      </c>
      <c r="B46" s="29" t="str">
        <f t="shared" si="0"/>
        <v>043</v>
      </c>
      <c r="C46" s="29" t="str">
        <f t="shared" si="1"/>
        <v>T</v>
      </c>
      <c r="D46" s="29" t="str">
        <f t="shared" si="2"/>
        <v>B</v>
      </c>
      <c r="E46" s="29" t="str">
        <f t="shared" si="3"/>
        <v>F</v>
      </c>
      <c r="F46" s="1" t="s">
        <v>207</v>
      </c>
      <c r="G46" s="1" t="s">
        <v>1734</v>
      </c>
      <c r="H46" s="1" t="s">
        <v>1734</v>
      </c>
      <c r="I46" s="1" t="s">
        <v>19</v>
      </c>
      <c r="J46" s="1" t="s">
        <v>31</v>
      </c>
      <c r="K46" s="1" t="s">
        <v>208</v>
      </c>
      <c r="L46" s="1" t="s">
        <v>209</v>
      </c>
      <c r="M46" s="1" t="s">
        <v>22</v>
      </c>
      <c r="N46" s="1" t="s">
        <v>118</v>
      </c>
      <c r="O46" s="1" t="s">
        <v>33</v>
      </c>
      <c r="P46" s="1" t="s">
        <v>124</v>
      </c>
      <c r="Q46" s="1"/>
      <c r="R46" s="1" t="s">
        <v>210</v>
      </c>
      <c r="S46" s="75">
        <v>40179</v>
      </c>
      <c r="T46" s="1">
        <v>0</v>
      </c>
      <c r="U46" s="1"/>
      <c r="V46" s="1" t="s">
        <v>36</v>
      </c>
      <c r="W46" s="1"/>
      <c r="X46" s="1"/>
      <c r="Y46" s="1"/>
      <c r="Z46" s="1" t="s">
        <v>1836</v>
      </c>
      <c r="AA46" s="75">
        <v>43282</v>
      </c>
      <c r="AB46" s="75">
        <v>43282</v>
      </c>
      <c r="AC46" s="88">
        <v>484000</v>
      </c>
      <c r="AD46" s="88">
        <v>17700000</v>
      </c>
    </row>
    <row r="47" spans="1:30" x14ac:dyDescent="0.4">
      <c r="A47" s="29">
        <v>44</v>
      </c>
      <c r="B47" s="29" t="str">
        <f t="shared" si="0"/>
        <v>044</v>
      </c>
      <c r="C47" s="29" t="str">
        <f t="shared" si="1"/>
        <v>T</v>
      </c>
      <c r="D47" s="29" t="str">
        <f t="shared" si="2"/>
        <v>B</v>
      </c>
      <c r="E47" s="29" t="str">
        <f t="shared" si="3"/>
        <v>F</v>
      </c>
      <c r="F47" s="1" t="s">
        <v>211</v>
      </c>
      <c r="G47" s="1" t="s">
        <v>1790</v>
      </c>
      <c r="H47" s="1" t="s">
        <v>1836</v>
      </c>
      <c r="I47" s="1" t="s">
        <v>19</v>
      </c>
      <c r="J47" s="1" t="s">
        <v>1362</v>
      </c>
      <c r="K47" s="1" t="s">
        <v>1790</v>
      </c>
      <c r="L47" s="1" t="s">
        <v>1813</v>
      </c>
      <c r="M47" s="1" t="s">
        <v>22</v>
      </c>
      <c r="N47" s="1" t="s">
        <v>118</v>
      </c>
      <c r="O47" s="1" t="s">
        <v>33</v>
      </c>
      <c r="P47" s="1" t="s">
        <v>124</v>
      </c>
      <c r="Q47" s="1" t="s">
        <v>181</v>
      </c>
      <c r="R47" s="1" t="s">
        <v>212</v>
      </c>
      <c r="S47" s="75">
        <v>41640</v>
      </c>
      <c r="T47" s="1">
        <v>0</v>
      </c>
      <c r="U47" s="1"/>
      <c r="V47" s="1" t="s">
        <v>36</v>
      </c>
      <c r="W47" s="1"/>
      <c r="X47" s="1"/>
      <c r="Y47" s="1"/>
      <c r="Z47" s="1" t="s">
        <v>1836</v>
      </c>
      <c r="AA47" s="75">
        <v>43282</v>
      </c>
      <c r="AB47" s="75">
        <v>45962</v>
      </c>
      <c r="AC47" s="88">
        <v>560000</v>
      </c>
      <c r="AD47" s="88">
        <v>19920000</v>
      </c>
    </row>
    <row r="48" spans="1:30" x14ac:dyDescent="0.4">
      <c r="A48" s="29">
        <v>45</v>
      </c>
      <c r="B48" s="29" t="str">
        <f t="shared" si="0"/>
        <v>045</v>
      </c>
      <c r="C48" s="29" t="str">
        <f t="shared" si="1"/>
        <v>T</v>
      </c>
      <c r="D48" s="29" t="str">
        <f t="shared" si="2"/>
        <v>B</v>
      </c>
      <c r="E48" s="29" t="str">
        <f t="shared" si="3"/>
        <v>F</v>
      </c>
      <c r="F48" s="1" t="s">
        <v>213</v>
      </c>
      <c r="G48" s="1" t="s">
        <v>1734</v>
      </c>
      <c r="H48" s="1" t="s">
        <v>1734</v>
      </c>
      <c r="I48" s="1" t="s">
        <v>19</v>
      </c>
      <c r="J48" s="1" t="s">
        <v>31</v>
      </c>
      <c r="K48" s="1" t="s">
        <v>214</v>
      </c>
      <c r="L48" s="1" t="s">
        <v>215</v>
      </c>
      <c r="M48" s="1" t="s">
        <v>22</v>
      </c>
      <c r="N48" s="1" t="s">
        <v>118</v>
      </c>
      <c r="O48" s="1" t="s">
        <v>129</v>
      </c>
      <c r="P48" s="1" t="s">
        <v>124</v>
      </c>
      <c r="Q48" s="1"/>
      <c r="R48" s="1" t="s">
        <v>216</v>
      </c>
      <c r="S48" s="75">
        <v>40909</v>
      </c>
      <c r="T48" s="1">
        <v>0</v>
      </c>
      <c r="U48" s="1"/>
      <c r="V48" s="1" t="s">
        <v>36</v>
      </c>
      <c r="W48" s="1"/>
      <c r="X48" s="1"/>
      <c r="Y48" s="1"/>
      <c r="Z48" s="1" t="s">
        <v>1836</v>
      </c>
      <c r="AA48" s="75">
        <v>43282</v>
      </c>
      <c r="AB48" s="75">
        <v>43282</v>
      </c>
      <c r="AC48" s="88">
        <v>500000</v>
      </c>
      <c r="AD48" s="88">
        <v>12660000</v>
      </c>
    </row>
    <row r="49" spans="1:30" ht="17.399999999999999" customHeight="1" x14ac:dyDescent="0.4">
      <c r="A49" s="29">
        <v>46</v>
      </c>
      <c r="B49" s="29" t="str">
        <f t="shared" si="0"/>
        <v>046</v>
      </c>
      <c r="C49" s="29" t="str">
        <f t="shared" si="1"/>
        <v>T</v>
      </c>
      <c r="D49" s="29" t="str">
        <f t="shared" si="2"/>
        <v>B</v>
      </c>
      <c r="E49" s="29" t="str">
        <f t="shared" si="3"/>
        <v>F</v>
      </c>
      <c r="F49" s="1" t="s">
        <v>217</v>
      </c>
      <c r="G49" s="1" t="s">
        <v>218</v>
      </c>
      <c r="H49" s="1" t="s">
        <v>218</v>
      </c>
      <c r="I49" s="1" t="s">
        <v>19</v>
      </c>
      <c r="J49" s="1" t="s">
        <v>31</v>
      </c>
      <c r="K49" s="1" t="s">
        <v>218</v>
      </c>
      <c r="L49" s="1" t="s">
        <v>219</v>
      </c>
      <c r="M49" s="1" t="s">
        <v>220</v>
      </c>
      <c r="N49" s="1" t="s">
        <v>81</v>
      </c>
      <c r="O49" s="1" t="s">
        <v>129</v>
      </c>
      <c r="P49" s="1" t="s">
        <v>124</v>
      </c>
      <c r="Q49" s="1"/>
      <c r="R49" s="1" t="s">
        <v>1877</v>
      </c>
      <c r="S49" s="75">
        <v>40909</v>
      </c>
      <c r="T49" s="1">
        <v>0</v>
      </c>
      <c r="U49" s="1"/>
      <c r="V49" s="1" t="s">
        <v>36</v>
      </c>
      <c r="W49" s="1"/>
      <c r="X49" s="1"/>
      <c r="Y49" s="1"/>
      <c r="Z49" s="1" t="s">
        <v>1836</v>
      </c>
      <c r="AA49" s="75">
        <v>43282</v>
      </c>
      <c r="AB49" s="75">
        <v>45666</v>
      </c>
      <c r="AC49" s="88">
        <v>550000</v>
      </c>
      <c r="AD49" s="88">
        <v>6721000</v>
      </c>
    </row>
    <row r="50" spans="1:30" ht="17.399999999999999" customHeight="1" x14ac:dyDescent="0.4">
      <c r="A50" s="29">
        <v>47</v>
      </c>
      <c r="B50" s="29" t="str">
        <f t="shared" si="0"/>
        <v>047</v>
      </c>
      <c r="C50" s="29" t="str">
        <f t="shared" si="1"/>
        <v>H</v>
      </c>
      <c r="D50" s="29" t="str">
        <f t="shared" si="2"/>
        <v>O</v>
      </c>
      <c r="E50" s="29" t="str">
        <f t="shared" si="3"/>
        <v>F</v>
      </c>
      <c r="F50" s="1" t="s">
        <v>221</v>
      </c>
      <c r="G50" s="1" t="s">
        <v>1734</v>
      </c>
      <c r="H50" s="1" t="s">
        <v>1734</v>
      </c>
      <c r="I50" s="1" t="s">
        <v>19</v>
      </c>
      <c r="J50" s="1" t="s">
        <v>31</v>
      </c>
      <c r="K50" s="1"/>
      <c r="L50" s="1" t="s">
        <v>222</v>
      </c>
      <c r="M50" s="1" t="s">
        <v>22</v>
      </c>
      <c r="N50" s="1" t="s">
        <v>118</v>
      </c>
      <c r="O50" s="1" t="s">
        <v>114</v>
      </c>
      <c r="P50" s="1" t="s">
        <v>223</v>
      </c>
      <c r="Q50" s="1" t="s">
        <v>224</v>
      </c>
      <c r="R50" s="1" t="s">
        <v>225</v>
      </c>
      <c r="S50" s="75">
        <v>40544</v>
      </c>
      <c r="T50" s="1">
        <v>0</v>
      </c>
      <c r="U50" s="1" t="s">
        <v>226</v>
      </c>
      <c r="V50" s="1" t="s">
        <v>36</v>
      </c>
      <c r="W50" s="1"/>
      <c r="X50" s="1"/>
      <c r="Y50" s="1"/>
      <c r="Z50" s="1" t="s">
        <v>1836</v>
      </c>
      <c r="AA50" s="75">
        <v>43344</v>
      </c>
      <c r="AB50" s="75">
        <v>43344</v>
      </c>
      <c r="AC50" s="88">
        <v>751000</v>
      </c>
      <c r="AD50" s="88">
        <v>18500000</v>
      </c>
    </row>
    <row r="51" spans="1:30" ht="17.399999999999999" customHeight="1" x14ac:dyDescent="0.4">
      <c r="A51" s="29">
        <v>48</v>
      </c>
      <c r="B51" s="29" t="str">
        <f t="shared" si="0"/>
        <v>048</v>
      </c>
      <c r="C51" s="29" t="str">
        <f t="shared" si="1"/>
        <v>E</v>
      </c>
      <c r="D51" s="29" t="str">
        <f t="shared" si="2"/>
        <v>B</v>
      </c>
      <c r="E51" s="29" t="str">
        <f t="shared" si="3"/>
        <v>F</v>
      </c>
      <c r="F51" s="1" t="s">
        <v>227</v>
      </c>
      <c r="G51" s="1" t="s">
        <v>1734</v>
      </c>
      <c r="H51" s="1" t="s">
        <v>1734</v>
      </c>
      <c r="I51" s="1" t="s">
        <v>19</v>
      </c>
      <c r="J51" s="1" t="s">
        <v>31</v>
      </c>
      <c r="K51" s="1" t="s">
        <v>228</v>
      </c>
      <c r="L51" s="1" t="s">
        <v>229</v>
      </c>
      <c r="M51" s="1" t="s">
        <v>22</v>
      </c>
      <c r="N51" s="1" t="s">
        <v>81</v>
      </c>
      <c r="O51" s="1" t="s">
        <v>129</v>
      </c>
      <c r="P51" s="1" t="s">
        <v>230</v>
      </c>
      <c r="Q51" s="1"/>
      <c r="R51" s="1" t="s">
        <v>231</v>
      </c>
      <c r="S51" s="75">
        <v>38718</v>
      </c>
      <c r="T51" s="1">
        <v>0</v>
      </c>
      <c r="U51" s="1"/>
      <c r="V51" s="1" t="s">
        <v>36</v>
      </c>
      <c r="W51" s="1"/>
      <c r="X51" s="1"/>
      <c r="Y51" s="1"/>
      <c r="Z51" s="1" t="s">
        <v>1836</v>
      </c>
      <c r="AA51" s="75">
        <v>43364</v>
      </c>
      <c r="AB51" s="75">
        <v>43364</v>
      </c>
      <c r="AC51" s="88">
        <v>360000</v>
      </c>
      <c r="AD51" s="88">
        <v>6167000</v>
      </c>
    </row>
    <row r="52" spans="1:30" x14ac:dyDescent="0.4">
      <c r="A52" s="29">
        <v>49</v>
      </c>
      <c r="B52" s="29" t="str">
        <f t="shared" si="0"/>
        <v>049</v>
      </c>
      <c r="C52" s="29" t="str">
        <f t="shared" si="1"/>
        <v>E</v>
      </c>
      <c r="D52" s="29" t="str">
        <f t="shared" si="2"/>
        <v>B</v>
      </c>
      <c r="E52" s="29" t="str">
        <f t="shared" si="3"/>
        <v>F</v>
      </c>
      <c r="F52" s="1" t="s">
        <v>232</v>
      </c>
      <c r="G52" s="1" t="s">
        <v>233</v>
      </c>
      <c r="H52" s="1" t="s">
        <v>359</v>
      </c>
      <c r="I52" s="1" t="s">
        <v>19</v>
      </c>
      <c r="J52" s="1" t="s">
        <v>1362</v>
      </c>
      <c r="K52" s="1" t="s">
        <v>234</v>
      </c>
      <c r="L52" s="1" t="s">
        <v>1781</v>
      </c>
      <c r="M52" s="1" t="s">
        <v>22</v>
      </c>
      <c r="N52" s="1" t="s">
        <v>118</v>
      </c>
      <c r="O52" s="1" t="s">
        <v>129</v>
      </c>
      <c r="P52" s="1" t="s">
        <v>230</v>
      </c>
      <c r="Q52" s="1"/>
      <c r="R52" s="1" t="s">
        <v>235</v>
      </c>
      <c r="S52" s="75">
        <v>38353</v>
      </c>
      <c r="T52" s="1">
        <v>0</v>
      </c>
      <c r="U52" s="1"/>
      <c r="V52" s="1" t="s">
        <v>27</v>
      </c>
      <c r="W52" s="1" t="s">
        <v>1830</v>
      </c>
      <c r="X52" s="1" t="s">
        <v>1836</v>
      </c>
      <c r="Y52" s="1" t="s">
        <v>1839</v>
      </c>
      <c r="Z52" s="1" t="s">
        <v>1836</v>
      </c>
      <c r="AA52" s="75">
        <v>43426</v>
      </c>
      <c r="AB52" s="75">
        <v>45108</v>
      </c>
      <c r="AC52" s="88">
        <v>560000</v>
      </c>
      <c r="AD52" s="88">
        <v>9270000</v>
      </c>
    </row>
    <row r="53" spans="1:30" x14ac:dyDescent="0.4">
      <c r="A53" s="29">
        <v>50</v>
      </c>
      <c r="B53" s="29" t="str">
        <f t="shared" si="0"/>
        <v>050</v>
      </c>
      <c r="C53" s="29" t="str">
        <f t="shared" si="1"/>
        <v>C</v>
      </c>
      <c r="D53" s="29" t="str">
        <f t="shared" si="2"/>
        <v>B</v>
      </c>
      <c r="E53" s="29" t="str">
        <f t="shared" si="3"/>
        <v>F</v>
      </c>
      <c r="F53" s="1" t="s">
        <v>236</v>
      </c>
      <c r="G53" s="1" t="s">
        <v>1734</v>
      </c>
      <c r="H53" s="1" t="s">
        <v>1734</v>
      </c>
      <c r="I53" s="1" t="s">
        <v>19</v>
      </c>
      <c r="J53" s="1" t="s">
        <v>31</v>
      </c>
      <c r="K53" s="1"/>
      <c r="L53" s="1" t="s">
        <v>237</v>
      </c>
      <c r="M53" s="1" t="s">
        <v>22</v>
      </c>
      <c r="N53" s="1" t="s">
        <v>118</v>
      </c>
      <c r="O53" s="1" t="s">
        <v>33</v>
      </c>
      <c r="P53" s="1" t="s">
        <v>24</v>
      </c>
      <c r="Q53" s="1" t="s">
        <v>238</v>
      </c>
      <c r="R53" s="1" t="s">
        <v>1360</v>
      </c>
      <c r="S53" s="75">
        <v>43070</v>
      </c>
      <c r="T53" s="1">
        <v>0</v>
      </c>
      <c r="U53" s="1"/>
      <c r="V53" s="1" t="s">
        <v>36</v>
      </c>
      <c r="W53" s="1"/>
      <c r="X53" s="1"/>
      <c r="Y53" s="1"/>
      <c r="Z53" s="1" t="s">
        <v>1836</v>
      </c>
      <c r="AA53" s="75">
        <v>43282</v>
      </c>
      <c r="AB53" s="75">
        <v>43282</v>
      </c>
      <c r="AC53" s="88">
        <v>458000</v>
      </c>
      <c r="AD53" s="88">
        <v>22500000</v>
      </c>
    </row>
    <row r="54" spans="1:30" x14ac:dyDescent="0.4">
      <c r="A54" s="29">
        <v>51</v>
      </c>
      <c r="B54" s="29" t="str">
        <f t="shared" si="0"/>
        <v>051</v>
      </c>
      <c r="C54" s="29" t="str">
        <f t="shared" si="1"/>
        <v>T</v>
      </c>
      <c r="D54" s="29" t="str">
        <f t="shared" si="2"/>
        <v>B</v>
      </c>
      <c r="E54" s="29" t="str">
        <f t="shared" si="3"/>
        <v>F</v>
      </c>
      <c r="F54" s="1" t="s">
        <v>239</v>
      </c>
      <c r="G54" s="1" t="s">
        <v>1836</v>
      </c>
      <c r="H54" s="1" t="s">
        <v>1693</v>
      </c>
      <c r="I54" s="1" t="s">
        <v>736</v>
      </c>
      <c r="J54" s="1" t="s">
        <v>31</v>
      </c>
      <c r="K54" s="1" t="s">
        <v>1707</v>
      </c>
      <c r="L54" s="1" t="s">
        <v>1366</v>
      </c>
      <c r="M54" s="1" t="s">
        <v>22</v>
      </c>
      <c r="N54" s="1" t="s">
        <v>118</v>
      </c>
      <c r="O54" s="1" t="s">
        <v>129</v>
      </c>
      <c r="P54" s="1" t="s">
        <v>124</v>
      </c>
      <c r="Q54" s="1"/>
      <c r="R54" s="1" t="s">
        <v>240</v>
      </c>
      <c r="S54" s="75">
        <v>37622</v>
      </c>
      <c r="T54" s="1">
        <v>0</v>
      </c>
      <c r="U54" s="1"/>
      <c r="V54" s="1" t="s">
        <v>36</v>
      </c>
      <c r="W54" s="1"/>
      <c r="X54" s="1"/>
      <c r="Y54" s="1"/>
      <c r="Z54" s="1" t="s">
        <v>1836</v>
      </c>
      <c r="AA54" s="75">
        <v>43617</v>
      </c>
      <c r="AB54" s="75">
        <v>45778</v>
      </c>
      <c r="AC54" s="88">
        <v>0</v>
      </c>
      <c r="AD54" s="88">
        <v>10830000</v>
      </c>
    </row>
    <row r="55" spans="1:30" ht="17.399999999999999" customHeight="1" x14ac:dyDescent="0.4">
      <c r="A55" s="29">
        <v>52</v>
      </c>
      <c r="B55" s="29" t="str">
        <f t="shared" si="0"/>
        <v>052</v>
      </c>
      <c r="C55" s="29" t="str">
        <f t="shared" si="1"/>
        <v>C</v>
      </c>
      <c r="D55" s="29" t="str">
        <f t="shared" si="2"/>
        <v>O</v>
      </c>
      <c r="E55" s="29" t="str">
        <f t="shared" si="3"/>
        <v>F</v>
      </c>
      <c r="F55" s="1" t="s">
        <v>241</v>
      </c>
      <c r="G55" s="1" t="s">
        <v>218</v>
      </c>
      <c r="H55" s="1" t="s">
        <v>218</v>
      </c>
      <c r="I55" s="1" t="s">
        <v>19</v>
      </c>
      <c r="J55" s="1" t="s">
        <v>31</v>
      </c>
      <c r="K55" s="1"/>
      <c r="L55" s="1" t="s">
        <v>242</v>
      </c>
      <c r="M55" s="1" t="s">
        <v>22</v>
      </c>
      <c r="N55" s="1" t="s">
        <v>118</v>
      </c>
      <c r="O55" s="1" t="s">
        <v>23</v>
      </c>
      <c r="P55" s="1" t="s">
        <v>24</v>
      </c>
      <c r="Q55" s="1" t="s">
        <v>243</v>
      </c>
      <c r="R55" s="1" t="s">
        <v>1878</v>
      </c>
      <c r="S55" s="75">
        <v>43282</v>
      </c>
      <c r="T55" s="1">
        <v>0</v>
      </c>
      <c r="U55" s="1" t="s">
        <v>244</v>
      </c>
      <c r="V55" s="1" t="s">
        <v>36</v>
      </c>
      <c r="W55" s="1"/>
      <c r="X55" s="1"/>
      <c r="Y55" s="1"/>
      <c r="Z55" s="1" t="s">
        <v>1836</v>
      </c>
      <c r="AA55" s="75">
        <v>43282</v>
      </c>
      <c r="AB55" s="75">
        <v>43282</v>
      </c>
      <c r="AC55" s="88">
        <v>900000</v>
      </c>
      <c r="AD55" s="88">
        <v>29490000</v>
      </c>
    </row>
    <row r="56" spans="1:30" ht="17.399999999999999" customHeight="1" x14ac:dyDescent="0.4">
      <c r="A56" s="29">
        <v>53</v>
      </c>
      <c r="B56" s="29" t="str">
        <f t="shared" si="0"/>
        <v>053</v>
      </c>
      <c r="C56" s="29" t="str">
        <f t="shared" si="1"/>
        <v>C</v>
      </c>
      <c r="D56" s="29" t="str">
        <f t="shared" si="2"/>
        <v>O</v>
      </c>
      <c r="E56" s="29" t="str">
        <f t="shared" si="3"/>
        <v>F</v>
      </c>
      <c r="F56" s="1" t="s">
        <v>245</v>
      </c>
      <c r="G56" s="1" t="s">
        <v>218</v>
      </c>
      <c r="H56" s="1" t="s">
        <v>218</v>
      </c>
      <c r="I56" s="1" t="s">
        <v>19</v>
      </c>
      <c r="J56" s="1" t="s">
        <v>31</v>
      </c>
      <c r="K56" s="1"/>
      <c r="L56" s="1" t="s">
        <v>246</v>
      </c>
      <c r="M56" s="1" t="s">
        <v>22</v>
      </c>
      <c r="N56" s="1" t="s">
        <v>118</v>
      </c>
      <c r="O56" s="1" t="s">
        <v>23</v>
      </c>
      <c r="P56" s="1" t="s">
        <v>24</v>
      </c>
      <c r="Q56" s="1" t="s">
        <v>243</v>
      </c>
      <c r="R56" s="1" t="s">
        <v>1879</v>
      </c>
      <c r="S56" s="75">
        <v>43282</v>
      </c>
      <c r="T56" s="1">
        <v>0</v>
      </c>
      <c r="U56" s="1" t="s">
        <v>247</v>
      </c>
      <c r="V56" s="1" t="s">
        <v>36</v>
      </c>
      <c r="W56" s="1"/>
      <c r="X56" s="1"/>
      <c r="Y56" s="1"/>
      <c r="Z56" s="1" t="s">
        <v>1836</v>
      </c>
      <c r="AA56" s="75">
        <v>43282</v>
      </c>
      <c r="AB56" s="75">
        <v>43282</v>
      </c>
      <c r="AC56" s="88">
        <v>900000</v>
      </c>
      <c r="AD56" s="88">
        <v>27360000</v>
      </c>
    </row>
    <row r="57" spans="1:30" ht="17.399999999999999" customHeight="1" x14ac:dyDescent="0.4">
      <c r="A57" s="29">
        <v>54</v>
      </c>
      <c r="B57" s="29" t="str">
        <f t="shared" si="0"/>
        <v>054</v>
      </c>
      <c r="C57" s="29" t="str">
        <f t="shared" si="1"/>
        <v>C</v>
      </c>
      <c r="D57" s="29" t="str">
        <f t="shared" si="2"/>
        <v>O</v>
      </c>
      <c r="E57" s="29" t="str">
        <f t="shared" si="3"/>
        <v>F</v>
      </c>
      <c r="F57" s="1" t="s">
        <v>248</v>
      </c>
      <c r="G57" s="1" t="s">
        <v>218</v>
      </c>
      <c r="H57" s="1" t="s">
        <v>218</v>
      </c>
      <c r="I57" s="1" t="s">
        <v>19</v>
      </c>
      <c r="J57" s="1" t="s">
        <v>31</v>
      </c>
      <c r="K57" s="1"/>
      <c r="L57" s="1" t="s">
        <v>249</v>
      </c>
      <c r="M57" s="1" t="s">
        <v>22</v>
      </c>
      <c r="N57" s="1" t="s">
        <v>118</v>
      </c>
      <c r="O57" s="1" t="s">
        <v>23</v>
      </c>
      <c r="P57" s="1" t="s">
        <v>24</v>
      </c>
      <c r="Q57" s="1" t="s">
        <v>243</v>
      </c>
      <c r="R57" s="1" t="s">
        <v>1880</v>
      </c>
      <c r="S57" s="75">
        <v>43282</v>
      </c>
      <c r="T57" s="1">
        <v>0</v>
      </c>
      <c r="U57" s="1" t="s">
        <v>250</v>
      </c>
      <c r="V57" s="1" t="s">
        <v>36</v>
      </c>
      <c r="W57" s="1"/>
      <c r="X57" s="1"/>
      <c r="Y57" s="1"/>
      <c r="Z57" s="1" t="s">
        <v>1836</v>
      </c>
      <c r="AA57" s="75">
        <v>43282</v>
      </c>
      <c r="AB57" s="75">
        <v>43282</v>
      </c>
      <c r="AC57" s="88">
        <v>900000</v>
      </c>
      <c r="AD57" s="88">
        <v>27360000</v>
      </c>
    </row>
    <row r="58" spans="1:30" ht="17.399999999999999" customHeight="1" x14ac:dyDescent="0.4">
      <c r="A58" s="29">
        <v>55</v>
      </c>
      <c r="B58" s="29" t="str">
        <f t="shared" si="0"/>
        <v>055</v>
      </c>
      <c r="C58" s="29" t="str">
        <f t="shared" si="1"/>
        <v>C</v>
      </c>
      <c r="D58" s="29" t="str">
        <f t="shared" si="2"/>
        <v>O</v>
      </c>
      <c r="E58" s="29" t="str">
        <f t="shared" si="3"/>
        <v>F</v>
      </c>
      <c r="F58" s="1" t="s">
        <v>251</v>
      </c>
      <c r="G58" s="1" t="s">
        <v>1836</v>
      </c>
      <c r="H58" s="1" t="s">
        <v>1693</v>
      </c>
      <c r="I58" s="1" t="s">
        <v>736</v>
      </c>
      <c r="J58" s="1" t="s">
        <v>31</v>
      </c>
      <c r="K58" s="1" t="s">
        <v>2034</v>
      </c>
      <c r="L58" s="1" t="s">
        <v>2054</v>
      </c>
      <c r="M58" s="1" t="s">
        <v>22</v>
      </c>
      <c r="N58" s="1" t="s">
        <v>118</v>
      </c>
      <c r="O58" s="1" t="s">
        <v>23</v>
      </c>
      <c r="P58" s="1" t="s">
        <v>24</v>
      </c>
      <c r="Q58" s="1" t="s">
        <v>243</v>
      </c>
      <c r="R58" s="1" t="s">
        <v>1881</v>
      </c>
      <c r="S58" s="75">
        <v>43282</v>
      </c>
      <c r="T58" s="1">
        <v>0</v>
      </c>
      <c r="U58" s="1" t="s">
        <v>252</v>
      </c>
      <c r="V58" s="1" t="s">
        <v>36</v>
      </c>
      <c r="W58" s="1"/>
      <c r="X58" s="1"/>
      <c r="Y58" s="1"/>
      <c r="Z58" s="1" t="s">
        <v>1836</v>
      </c>
      <c r="AA58" s="75">
        <v>43282</v>
      </c>
      <c r="AB58" s="75">
        <v>46119</v>
      </c>
      <c r="AC58" s="88">
        <v>0</v>
      </c>
      <c r="AD58" s="88">
        <v>27850000</v>
      </c>
    </row>
    <row r="59" spans="1:30" ht="17.399999999999999" customHeight="1" x14ac:dyDescent="0.4">
      <c r="A59" s="29">
        <v>56</v>
      </c>
      <c r="B59" s="29" t="str">
        <f t="shared" si="0"/>
        <v>056</v>
      </c>
      <c r="C59" s="29" t="str">
        <f t="shared" si="1"/>
        <v>D</v>
      </c>
      <c r="D59" s="29" t="str">
        <f t="shared" si="2"/>
        <v>O</v>
      </c>
      <c r="E59" s="29" t="str">
        <f t="shared" si="3"/>
        <v>F</v>
      </c>
      <c r="F59" s="1" t="s">
        <v>253</v>
      </c>
      <c r="G59" s="1" t="s">
        <v>2024</v>
      </c>
      <c r="H59" s="1" t="s">
        <v>2024</v>
      </c>
      <c r="I59" s="1" t="s">
        <v>19</v>
      </c>
      <c r="J59" s="1" t="s">
        <v>1362</v>
      </c>
      <c r="K59" s="1" t="s">
        <v>2025</v>
      </c>
      <c r="L59" s="1" t="s">
        <v>2026</v>
      </c>
      <c r="M59" s="1" t="s">
        <v>22</v>
      </c>
      <c r="N59" s="1" t="s">
        <v>118</v>
      </c>
      <c r="O59" s="1" t="s">
        <v>254</v>
      </c>
      <c r="P59" s="1" t="s">
        <v>41</v>
      </c>
      <c r="Q59" s="1" t="s">
        <v>255</v>
      </c>
      <c r="R59" s="1" t="s">
        <v>256</v>
      </c>
      <c r="S59" s="75">
        <v>43586</v>
      </c>
      <c r="T59" s="1">
        <v>199</v>
      </c>
      <c r="U59" s="1" t="s">
        <v>257</v>
      </c>
      <c r="V59" s="1" t="s">
        <v>36</v>
      </c>
      <c r="W59" s="1"/>
      <c r="X59" s="1"/>
      <c r="Y59" s="1"/>
      <c r="Z59" s="1" t="s">
        <v>1836</v>
      </c>
      <c r="AA59" s="75">
        <v>43585</v>
      </c>
      <c r="AB59" s="75">
        <v>46054</v>
      </c>
      <c r="AC59" s="88">
        <v>950000</v>
      </c>
      <c r="AD59" s="88">
        <v>49315000</v>
      </c>
    </row>
    <row r="60" spans="1:30" ht="17.399999999999999" customHeight="1" x14ac:dyDescent="0.4">
      <c r="A60" s="29">
        <v>57</v>
      </c>
      <c r="B60" s="29" t="str">
        <f t="shared" si="0"/>
        <v>057</v>
      </c>
      <c r="C60" s="29" t="str">
        <f t="shared" si="1"/>
        <v>D</v>
      </c>
      <c r="D60" s="29" t="str">
        <f t="shared" si="2"/>
        <v>O</v>
      </c>
      <c r="E60" s="29" t="str">
        <f t="shared" si="3"/>
        <v>F</v>
      </c>
      <c r="F60" s="1" t="s">
        <v>258</v>
      </c>
      <c r="G60" s="1" t="s">
        <v>259</v>
      </c>
      <c r="H60" s="1" t="s">
        <v>265</v>
      </c>
      <c r="I60" s="1" t="s">
        <v>19</v>
      </c>
      <c r="J60" s="1" t="s">
        <v>31</v>
      </c>
      <c r="K60" s="1" t="s">
        <v>271</v>
      </c>
      <c r="L60" s="1" t="s">
        <v>261</v>
      </c>
      <c r="M60" s="1" t="s">
        <v>22</v>
      </c>
      <c r="N60" s="1" t="s">
        <v>118</v>
      </c>
      <c r="O60" s="1" t="s">
        <v>262</v>
      </c>
      <c r="P60" s="1" t="s">
        <v>41</v>
      </c>
      <c r="Q60" s="1" t="s">
        <v>263</v>
      </c>
      <c r="R60" s="1" t="s">
        <v>1735</v>
      </c>
      <c r="S60" s="75">
        <v>42528</v>
      </c>
      <c r="T60" s="1">
        <v>0</v>
      </c>
      <c r="U60" s="1" t="s">
        <v>264</v>
      </c>
      <c r="V60" s="1" t="s">
        <v>36</v>
      </c>
      <c r="W60" s="1"/>
      <c r="X60" s="1"/>
      <c r="Y60" s="1"/>
      <c r="Z60" s="1" t="s">
        <v>265</v>
      </c>
      <c r="AA60" s="75">
        <v>43831</v>
      </c>
      <c r="AB60" s="75">
        <v>43831</v>
      </c>
      <c r="AC60" s="88">
        <v>4000000</v>
      </c>
      <c r="AD60" s="88">
        <v>72975000</v>
      </c>
    </row>
    <row r="61" spans="1:30" ht="17.399999999999999" customHeight="1" x14ac:dyDescent="0.4">
      <c r="A61" s="29">
        <v>58</v>
      </c>
      <c r="B61" s="29" t="str">
        <f t="shared" si="0"/>
        <v>058</v>
      </c>
      <c r="C61" s="29" t="str">
        <f t="shared" si="1"/>
        <v>D</v>
      </c>
      <c r="D61" s="29" t="str">
        <f t="shared" si="2"/>
        <v>O</v>
      </c>
      <c r="E61" s="29" t="str">
        <f t="shared" si="3"/>
        <v>F</v>
      </c>
      <c r="F61" s="1" t="s">
        <v>266</v>
      </c>
      <c r="G61" s="1" t="s">
        <v>2012</v>
      </c>
      <c r="H61" s="1" t="s">
        <v>1693</v>
      </c>
      <c r="I61" s="1" t="s">
        <v>276</v>
      </c>
      <c r="J61" s="1" t="s">
        <v>1362</v>
      </c>
      <c r="K61" s="1" t="s">
        <v>276</v>
      </c>
      <c r="L61" s="1" t="s">
        <v>276</v>
      </c>
      <c r="M61" s="1" t="s">
        <v>22</v>
      </c>
      <c r="N61" s="1" t="s">
        <v>118</v>
      </c>
      <c r="O61" s="1" t="s">
        <v>262</v>
      </c>
      <c r="P61" s="1" t="s">
        <v>41</v>
      </c>
      <c r="Q61" s="1" t="s">
        <v>267</v>
      </c>
      <c r="R61" s="1" t="s">
        <v>268</v>
      </c>
      <c r="S61" s="75">
        <v>40707</v>
      </c>
      <c r="T61" s="1">
        <v>0</v>
      </c>
      <c r="U61" s="1" t="s">
        <v>269</v>
      </c>
      <c r="V61" s="1" t="s">
        <v>36</v>
      </c>
      <c r="W61" s="1"/>
      <c r="X61" s="1"/>
      <c r="Y61" s="1"/>
      <c r="Z61" s="1" t="s">
        <v>265</v>
      </c>
      <c r="AA61" s="75">
        <v>43831</v>
      </c>
      <c r="AB61" s="75">
        <v>45992</v>
      </c>
      <c r="AC61" s="88">
        <v>0</v>
      </c>
      <c r="AD61" s="88">
        <v>55675000</v>
      </c>
    </row>
    <row r="62" spans="1:30" ht="17.399999999999999" customHeight="1" x14ac:dyDescent="0.4">
      <c r="A62" s="29">
        <v>59</v>
      </c>
      <c r="B62" s="29" t="str">
        <f t="shared" si="0"/>
        <v>059</v>
      </c>
      <c r="C62" s="29" t="str">
        <f t="shared" si="1"/>
        <v>D</v>
      </c>
      <c r="D62" s="29" t="str">
        <f t="shared" si="2"/>
        <v>O</v>
      </c>
      <c r="E62" s="29" t="str">
        <f t="shared" si="3"/>
        <v>F</v>
      </c>
      <c r="F62" s="1" t="s">
        <v>270</v>
      </c>
      <c r="G62" s="1" t="s">
        <v>1836</v>
      </c>
      <c r="H62" s="1" t="s">
        <v>1693</v>
      </c>
      <c r="I62" s="1" t="s">
        <v>1980</v>
      </c>
      <c r="J62" s="1" t="s">
        <v>31</v>
      </c>
      <c r="K62" s="1" t="s">
        <v>1840</v>
      </c>
      <c r="L62" s="1" t="s">
        <v>1841</v>
      </c>
      <c r="M62" s="1" t="s">
        <v>22</v>
      </c>
      <c r="N62" s="1" t="s">
        <v>118</v>
      </c>
      <c r="O62" s="1" t="s">
        <v>262</v>
      </c>
      <c r="P62" s="1" t="s">
        <v>41</v>
      </c>
      <c r="Q62" s="1" t="s">
        <v>263</v>
      </c>
      <c r="R62" s="1" t="s">
        <v>272</v>
      </c>
      <c r="S62" s="75">
        <v>42528</v>
      </c>
      <c r="T62" s="1">
        <v>0</v>
      </c>
      <c r="U62" s="1" t="s">
        <v>273</v>
      </c>
      <c r="V62" s="1" t="s">
        <v>36</v>
      </c>
      <c r="W62" s="1"/>
      <c r="X62" s="1"/>
      <c r="Y62" s="1"/>
      <c r="Z62" s="1" t="s">
        <v>265</v>
      </c>
      <c r="AA62" s="75">
        <v>43831</v>
      </c>
      <c r="AB62" s="75">
        <v>45962</v>
      </c>
      <c r="AC62" s="88">
        <v>0</v>
      </c>
      <c r="AD62" s="88">
        <v>72975000</v>
      </c>
    </row>
    <row r="63" spans="1:30" ht="17.399999999999999" customHeight="1" x14ac:dyDescent="0.4">
      <c r="A63" s="29">
        <v>60</v>
      </c>
      <c r="B63" s="29" t="str">
        <f t="shared" si="0"/>
        <v>060</v>
      </c>
      <c r="C63" s="29" t="str">
        <f t="shared" si="1"/>
        <v>D</v>
      </c>
      <c r="D63" s="29" t="str">
        <f t="shared" si="2"/>
        <v>O</v>
      </c>
      <c r="E63" s="29" t="str">
        <f t="shared" si="3"/>
        <v>F</v>
      </c>
      <c r="F63" s="1" t="s">
        <v>274</v>
      </c>
      <c r="G63" s="1" t="s">
        <v>275</v>
      </c>
      <c r="H63" s="1" t="s">
        <v>1693</v>
      </c>
      <c r="I63" s="1" t="s">
        <v>276</v>
      </c>
      <c r="J63" s="1" t="s">
        <v>1342</v>
      </c>
      <c r="K63" s="1" t="s">
        <v>276</v>
      </c>
      <c r="L63" s="1" t="s">
        <v>276</v>
      </c>
      <c r="M63" s="1" t="s">
        <v>22</v>
      </c>
      <c r="N63" s="1" t="s">
        <v>118</v>
      </c>
      <c r="O63" s="1" t="s">
        <v>262</v>
      </c>
      <c r="P63" s="1" t="s">
        <v>41</v>
      </c>
      <c r="Q63" s="1" t="s">
        <v>1343</v>
      </c>
      <c r="R63" s="1" t="s">
        <v>1344</v>
      </c>
      <c r="S63" s="75">
        <v>40074</v>
      </c>
      <c r="T63" s="1">
        <v>0</v>
      </c>
      <c r="U63" s="1" t="s">
        <v>1345</v>
      </c>
      <c r="V63" s="1" t="s">
        <v>36</v>
      </c>
      <c r="W63" s="1"/>
      <c r="X63" s="1"/>
      <c r="Y63" s="1"/>
      <c r="Z63" s="1" t="s">
        <v>265</v>
      </c>
      <c r="AA63" s="75">
        <v>43831</v>
      </c>
      <c r="AB63" s="75">
        <v>45059</v>
      </c>
      <c r="AC63" s="88">
        <v>0</v>
      </c>
      <c r="AD63" s="88">
        <v>42175000</v>
      </c>
    </row>
    <row r="64" spans="1:30" ht="17.399999999999999" customHeight="1" x14ac:dyDescent="0.4">
      <c r="A64" s="29">
        <v>61</v>
      </c>
      <c r="B64" s="29" t="str">
        <f t="shared" si="0"/>
        <v>061</v>
      </c>
      <c r="C64" s="29" t="str">
        <f t="shared" si="1"/>
        <v>D</v>
      </c>
      <c r="D64" s="29" t="str">
        <f t="shared" si="2"/>
        <v>O</v>
      </c>
      <c r="E64" s="29" t="str">
        <f t="shared" si="3"/>
        <v>F</v>
      </c>
      <c r="F64" s="1" t="s">
        <v>277</v>
      </c>
      <c r="G64" s="1" t="s">
        <v>278</v>
      </c>
      <c r="H64" s="1" t="s">
        <v>1693</v>
      </c>
      <c r="I64" s="1" t="s">
        <v>276</v>
      </c>
      <c r="J64" s="1" t="s">
        <v>1342</v>
      </c>
      <c r="K64" s="1" t="s">
        <v>276</v>
      </c>
      <c r="L64" s="1" t="s">
        <v>276</v>
      </c>
      <c r="M64" s="1" t="s">
        <v>22</v>
      </c>
      <c r="N64" s="1" t="s">
        <v>118</v>
      </c>
      <c r="O64" s="1" t="s">
        <v>262</v>
      </c>
      <c r="P64" s="1" t="s">
        <v>41</v>
      </c>
      <c r="Q64" s="1" t="s">
        <v>1343</v>
      </c>
      <c r="R64" s="1" t="s">
        <v>1346</v>
      </c>
      <c r="S64" s="75">
        <v>40150</v>
      </c>
      <c r="T64" s="1">
        <v>0</v>
      </c>
      <c r="U64" s="1" t="s">
        <v>1347</v>
      </c>
      <c r="V64" s="1" t="s">
        <v>36</v>
      </c>
      <c r="W64" s="1"/>
      <c r="X64" s="1"/>
      <c r="Y64" s="1"/>
      <c r="Z64" s="1" t="s">
        <v>265</v>
      </c>
      <c r="AA64" s="75">
        <v>43831</v>
      </c>
      <c r="AB64" s="75">
        <v>45637</v>
      </c>
      <c r="AC64" s="88">
        <v>0</v>
      </c>
      <c r="AD64" s="88">
        <v>42175000</v>
      </c>
    </row>
    <row r="65" spans="1:30" ht="17.399999999999999" customHeight="1" x14ac:dyDescent="0.4">
      <c r="A65" s="29">
        <v>62</v>
      </c>
      <c r="B65" s="29" t="str">
        <f t="shared" si="0"/>
        <v>062</v>
      </c>
      <c r="C65" s="29" t="str">
        <f t="shared" si="1"/>
        <v>H</v>
      </c>
      <c r="D65" s="29" t="str">
        <f t="shared" si="2"/>
        <v>O</v>
      </c>
      <c r="E65" s="29" t="str">
        <f t="shared" si="3"/>
        <v>F</v>
      </c>
      <c r="F65" s="1" t="s">
        <v>279</v>
      </c>
      <c r="G65" s="1" t="s">
        <v>275</v>
      </c>
      <c r="H65" s="1" t="s">
        <v>1693</v>
      </c>
      <c r="I65" s="1" t="s">
        <v>276</v>
      </c>
      <c r="J65" s="1" t="s">
        <v>1342</v>
      </c>
      <c r="K65" s="1" t="s">
        <v>276</v>
      </c>
      <c r="L65" s="1" t="s">
        <v>276</v>
      </c>
      <c r="M65" s="1" t="s">
        <v>22</v>
      </c>
      <c r="N65" s="1" t="s">
        <v>118</v>
      </c>
      <c r="O65" s="1" t="s">
        <v>262</v>
      </c>
      <c r="P65" s="1" t="s">
        <v>223</v>
      </c>
      <c r="Q65" s="1" t="s">
        <v>1348</v>
      </c>
      <c r="R65" s="1" t="s">
        <v>1349</v>
      </c>
      <c r="S65" s="75">
        <v>39591</v>
      </c>
      <c r="T65" s="1">
        <v>0</v>
      </c>
      <c r="U65" s="1" t="s">
        <v>1350</v>
      </c>
      <c r="V65" s="1" t="s">
        <v>36</v>
      </c>
      <c r="W65" s="1"/>
      <c r="X65" s="1"/>
      <c r="Y65" s="1"/>
      <c r="Z65" s="1" t="s">
        <v>265</v>
      </c>
      <c r="AA65" s="75">
        <v>43831</v>
      </c>
      <c r="AB65" s="75">
        <v>44887</v>
      </c>
      <c r="AC65" s="88">
        <v>0</v>
      </c>
      <c r="AD65" s="88">
        <v>29675000</v>
      </c>
    </row>
    <row r="66" spans="1:30" ht="17.399999999999999" customHeight="1" x14ac:dyDescent="0.4">
      <c r="A66" s="29">
        <v>63</v>
      </c>
      <c r="B66" s="29" t="str">
        <f t="shared" si="0"/>
        <v>063</v>
      </c>
      <c r="C66" s="29" t="str">
        <f t="shared" si="1"/>
        <v>D</v>
      </c>
      <c r="D66" s="29" t="str">
        <f t="shared" si="2"/>
        <v>O</v>
      </c>
      <c r="E66" s="29" t="str">
        <f t="shared" si="3"/>
        <v>F</v>
      </c>
      <c r="F66" s="1" t="s">
        <v>280</v>
      </c>
      <c r="G66" s="1" t="s">
        <v>259</v>
      </c>
      <c r="H66" s="1" t="s">
        <v>265</v>
      </c>
      <c r="I66" s="1" t="s">
        <v>19</v>
      </c>
      <c r="J66" s="1" t="s">
        <v>31</v>
      </c>
      <c r="K66" s="1" t="s">
        <v>260</v>
      </c>
      <c r="L66" s="1" t="s">
        <v>281</v>
      </c>
      <c r="M66" s="1" t="s">
        <v>22</v>
      </c>
      <c r="N66" s="1" t="s">
        <v>118</v>
      </c>
      <c r="O66" s="1" t="s">
        <v>282</v>
      </c>
      <c r="P66" s="1" t="s">
        <v>41</v>
      </c>
      <c r="Q66" s="1" t="s">
        <v>283</v>
      </c>
      <c r="R66" s="1" t="s">
        <v>284</v>
      </c>
      <c r="S66" s="75">
        <v>42528</v>
      </c>
      <c r="T66" s="1">
        <v>0</v>
      </c>
      <c r="U66" s="1" t="s">
        <v>285</v>
      </c>
      <c r="V66" s="1" t="s">
        <v>36</v>
      </c>
      <c r="W66" s="1"/>
      <c r="X66" s="1"/>
      <c r="Y66" s="1"/>
      <c r="Z66" s="1" t="s">
        <v>265</v>
      </c>
      <c r="AA66" s="75">
        <v>43831</v>
      </c>
      <c r="AB66" s="75">
        <v>43831</v>
      </c>
      <c r="AC66" s="88">
        <v>1700000</v>
      </c>
      <c r="AD66" s="88">
        <v>42175000</v>
      </c>
    </row>
    <row r="67" spans="1:30" ht="17.399999999999999" customHeight="1" x14ac:dyDescent="0.4">
      <c r="A67" s="29">
        <v>64</v>
      </c>
      <c r="B67" s="29" t="str">
        <f t="shared" si="0"/>
        <v>064</v>
      </c>
      <c r="C67" s="29" t="str">
        <f t="shared" si="1"/>
        <v>D</v>
      </c>
      <c r="D67" s="29" t="str">
        <f t="shared" si="2"/>
        <v>O</v>
      </c>
      <c r="E67" s="29" t="str">
        <f t="shared" si="3"/>
        <v>F</v>
      </c>
      <c r="F67" s="1" t="s">
        <v>286</v>
      </c>
      <c r="G67" s="1" t="s">
        <v>259</v>
      </c>
      <c r="H67" s="1" t="s">
        <v>265</v>
      </c>
      <c r="I67" s="1" t="s">
        <v>19</v>
      </c>
      <c r="J67" s="1" t="s">
        <v>31</v>
      </c>
      <c r="K67" s="1" t="s">
        <v>271</v>
      </c>
      <c r="L67" s="1" t="s">
        <v>287</v>
      </c>
      <c r="M67" s="1" t="s">
        <v>22</v>
      </c>
      <c r="N67" s="1" t="s">
        <v>118</v>
      </c>
      <c r="O67" s="1" t="s">
        <v>282</v>
      </c>
      <c r="P67" s="1" t="s">
        <v>41</v>
      </c>
      <c r="Q67" s="1" t="s">
        <v>283</v>
      </c>
      <c r="R67" s="1" t="s">
        <v>288</v>
      </c>
      <c r="S67" s="75">
        <v>42528</v>
      </c>
      <c r="T67" s="1">
        <v>0</v>
      </c>
      <c r="U67" s="1" t="s">
        <v>289</v>
      </c>
      <c r="V67" s="1" t="s">
        <v>36</v>
      </c>
      <c r="W67" s="1"/>
      <c r="X67" s="1"/>
      <c r="Y67" s="1"/>
      <c r="Z67" s="1" t="s">
        <v>265</v>
      </c>
      <c r="AA67" s="75">
        <v>43831</v>
      </c>
      <c r="AB67" s="75">
        <v>43831</v>
      </c>
      <c r="AC67" s="88">
        <v>1700000</v>
      </c>
      <c r="AD67" s="88">
        <v>42175000</v>
      </c>
    </row>
    <row r="68" spans="1:30" x14ac:dyDescent="0.4">
      <c r="A68" s="29">
        <v>65</v>
      </c>
      <c r="B68" s="29" t="str">
        <f t="shared" si="0"/>
        <v>065</v>
      </c>
      <c r="C68" s="29" t="str">
        <f t="shared" si="1"/>
        <v>T</v>
      </c>
      <c r="D68" s="29" t="str">
        <f t="shared" si="2"/>
        <v>B</v>
      </c>
      <c r="E68" s="29" t="str">
        <f t="shared" si="3"/>
        <v>F</v>
      </c>
      <c r="F68" s="1" t="s">
        <v>290</v>
      </c>
      <c r="G68" s="1" t="s">
        <v>101</v>
      </c>
      <c r="H68" s="1" t="s">
        <v>101</v>
      </c>
      <c r="I68" s="1" t="s">
        <v>19</v>
      </c>
      <c r="J68" s="1" t="s">
        <v>1362</v>
      </c>
      <c r="K68" s="1" t="s">
        <v>291</v>
      </c>
      <c r="L68" s="1" t="s">
        <v>292</v>
      </c>
      <c r="M68" s="1" t="s">
        <v>22</v>
      </c>
      <c r="N68" s="1" t="s">
        <v>118</v>
      </c>
      <c r="O68" s="1" t="s">
        <v>129</v>
      </c>
      <c r="P68" s="1" t="s">
        <v>124</v>
      </c>
      <c r="Q68" s="1" t="s">
        <v>293</v>
      </c>
      <c r="R68" s="1" t="s">
        <v>294</v>
      </c>
      <c r="S68" s="75">
        <v>41275</v>
      </c>
      <c r="T68" s="1">
        <v>0</v>
      </c>
      <c r="U68" s="1"/>
      <c r="V68" s="1" t="s">
        <v>36</v>
      </c>
      <c r="W68" s="1"/>
      <c r="X68" s="1"/>
      <c r="Y68" s="1"/>
      <c r="Z68" s="1" t="s">
        <v>1836</v>
      </c>
      <c r="AA68" s="75">
        <v>43486</v>
      </c>
      <c r="AB68" s="75">
        <v>43486</v>
      </c>
      <c r="AC68" s="88">
        <v>500000</v>
      </c>
      <c r="AD68" s="88">
        <v>8007000</v>
      </c>
    </row>
    <row r="69" spans="1:30" x14ac:dyDescent="0.4">
      <c r="A69" s="29">
        <v>66</v>
      </c>
      <c r="B69" s="29" t="str">
        <f t="shared" ref="B69:B132" si="4">MID(F69,8,3)</f>
        <v>066</v>
      </c>
      <c r="C69" s="29" t="str">
        <f t="shared" ref="C69:C132" si="5">MID(F69,1,1)</f>
        <v>D</v>
      </c>
      <c r="D69" s="29" t="str">
        <f t="shared" ref="D69:D132" si="6">MID(F69,3,1)</f>
        <v>B</v>
      </c>
      <c r="E69" s="29" t="str">
        <f t="shared" ref="E69:E132" si="7">MID(F69,2,1)</f>
        <v>F</v>
      </c>
      <c r="F69" s="1" t="s">
        <v>295</v>
      </c>
      <c r="G69" s="1" t="s">
        <v>101</v>
      </c>
      <c r="H69" s="1" t="s">
        <v>101</v>
      </c>
      <c r="I69" s="1" t="s">
        <v>19</v>
      </c>
      <c r="J69" s="1" t="s">
        <v>1362</v>
      </c>
      <c r="K69" s="1" t="s">
        <v>291</v>
      </c>
      <c r="L69" s="1" t="s">
        <v>296</v>
      </c>
      <c r="M69" s="1" t="s">
        <v>22</v>
      </c>
      <c r="N69" s="1" t="s">
        <v>118</v>
      </c>
      <c r="O69" s="1" t="s">
        <v>23</v>
      </c>
      <c r="P69" s="1" t="s">
        <v>41</v>
      </c>
      <c r="Q69" s="1" t="s">
        <v>297</v>
      </c>
      <c r="R69" s="1" t="s">
        <v>298</v>
      </c>
      <c r="S69" s="75">
        <v>40179</v>
      </c>
      <c r="T69" s="1">
        <v>0</v>
      </c>
      <c r="U69" s="1"/>
      <c r="V69" s="1" t="s">
        <v>27</v>
      </c>
      <c r="W69" s="1" t="s">
        <v>1782</v>
      </c>
      <c r="X69" s="1" t="s">
        <v>1836</v>
      </c>
      <c r="Y69" s="1" t="s">
        <v>1842</v>
      </c>
      <c r="Z69" s="1" t="s">
        <v>1836</v>
      </c>
      <c r="AA69" s="75">
        <v>43313</v>
      </c>
      <c r="AB69" s="75">
        <v>43313</v>
      </c>
      <c r="AC69" s="88">
        <v>650000</v>
      </c>
      <c r="AD69" s="88">
        <v>15500000</v>
      </c>
    </row>
    <row r="70" spans="1:30" x14ac:dyDescent="0.4">
      <c r="A70" s="29">
        <v>67</v>
      </c>
      <c r="B70" s="29" t="str">
        <f t="shared" si="4"/>
        <v>067</v>
      </c>
      <c r="C70" s="29" t="str">
        <f t="shared" si="5"/>
        <v>E</v>
      </c>
      <c r="D70" s="29" t="str">
        <f t="shared" si="6"/>
        <v>B</v>
      </c>
      <c r="E70" s="29" t="str">
        <f t="shared" si="7"/>
        <v>O</v>
      </c>
      <c r="F70" s="1" t="s">
        <v>1882</v>
      </c>
      <c r="G70" s="1" t="s">
        <v>101</v>
      </c>
      <c r="H70" s="1" t="s">
        <v>101</v>
      </c>
      <c r="I70" s="1" t="s">
        <v>19</v>
      </c>
      <c r="J70" s="1" t="s">
        <v>1362</v>
      </c>
      <c r="K70" s="1" t="s">
        <v>291</v>
      </c>
      <c r="L70" s="1" t="s">
        <v>299</v>
      </c>
      <c r="M70" s="1" t="s">
        <v>22</v>
      </c>
      <c r="N70" s="1" t="s">
        <v>1883</v>
      </c>
      <c r="O70" s="1" t="s">
        <v>300</v>
      </c>
      <c r="P70" s="1" t="s">
        <v>301</v>
      </c>
      <c r="Q70" s="1" t="s">
        <v>302</v>
      </c>
      <c r="R70" s="1" t="s">
        <v>303</v>
      </c>
      <c r="S70" s="75">
        <v>44044</v>
      </c>
      <c r="T70" s="1">
        <v>0</v>
      </c>
      <c r="U70" s="1"/>
      <c r="V70" s="1" t="s">
        <v>36</v>
      </c>
      <c r="W70" s="1"/>
      <c r="X70" s="1"/>
      <c r="Y70" s="1"/>
      <c r="Z70" s="1" t="s">
        <v>1836</v>
      </c>
      <c r="AA70" s="75">
        <v>44044</v>
      </c>
      <c r="AB70" s="75">
        <v>44044</v>
      </c>
      <c r="AC70" s="88">
        <v>800000</v>
      </c>
      <c r="AD70" s="88">
        <v>12000000</v>
      </c>
    </row>
    <row r="71" spans="1:30" ht="17.399999999999999" customHeight="1" x14ac:dyDescent="0.4">
      <c r="A71" s="29">
        <v>68</v>
      </c>
      <c r="B71" s="29" t="str">
        <f t="shared" si="4"/>
        <v>068</v>
      </c>
      <c r="C71" s="29" t="str">
        <f t="shared" si="5"/>
        <v>D</v>
      </c>
      <c r="D71" s="29" t="str">
        <f t="shared" si="6"/>
        <v>B</v>
      </c>
      <c r="E71" s="29" t="str">
        <f t="shared" si="7"/>
        <v>F</v>
      </c>
      <c r="F71" s="1" t="s">
        <v>1884</v>
      </c>
      <c r="G71" s="1" t="s">
        <v>304</v>
      </c>
      <c r="H71" s="1" t="s">
        <v>359</v>
      </c>
      <c r="I71" s="1" t="s">
        <v>19</v>
      </c>
      <c r="J71" s="1" t="s">
        <v>31</v>
      </c>
      <c r="K71" s="1"/>
      <c r="L71" s="1" t="s">
        <v>305</v>
      </c>
      <c r="M71" s="1" t="s">
        <v>22</v>
      </c>
      <c r="N71" s="1" t="s">
        <v>81</v>
      </c>
      <c r="O71" s="1" t="s">
        <v>33</v>
      </c>
      <c r="P71" s="1" t="s">
        <v>41</v>
      </c>
      <c r="Q71" s="1" t="s">
        <v>306</v>
      </c>
      <c r="R71" s="1" t="s">
        <v>307</v>
      </c>
      <c r="S71" s="75">
        <v>44348</v>
      </c>
      <c r="T71" s="1">
        <v>0</v>
      </c>
      <c r="U71" s="1"/>
      <c r="V71" s="1" t="s">
        <v>36</v>
      </c>
      <c r="W71" s="1"/>
      <c r="X71" s="1"/>
      <c r="Y71" s="1"/>
      <c r="Z71" s="1" t="s">
        <v>1836</v>
      </c>
      <c r="AA71" s="75">
        <v>44348</v>
      </c>
      <c r="AB71" s="75">
        <v>44348</v>
      </c>
      <c r="AC71" s="88">
        <v>600000</v>
      </c>
      <c r="AD71" s="88">
        <v>23850000</v>
      </c>
    </row>
    <row r="72" spans="1:30" x14ac:dyDescent="0.4">
      <c r="A72" s="29">
        <v>69</v>
      </c>
      <c r="B72" s="29" t="str">
        <f t="shared" si="4"/>
        <v>069</v>
      </c>
      <c r="C72" s="29" t="str">
        <f t="shared" si="5"/>
        <v>D</v>
      </c>
      <c r="D72" s="29" t="str">
        <f t="shared" si="6"/>
        <v>B</v>
      </c>
      <c r="E72" s="29" t="str">
        <f t="shared" si="7"/>
        <v>F</v>
      </c>
      <c r="F72" s="1" t="s">
        <v>308</v>
      </c>
      <c r="G72" s="1" t="s">
        <v>304</v>
      </c>
      <c r="H72" s="1" t="s">
        <v>359</v>
      </c>
      <c r="I72" s="1" t="s">
        <v>19</v>
      </c>
      <c r="J72" s="1" t="s">
        <v>31</v>
      </c>
      <c r="K72" s="1"/>
      <c r="L72" s="1" t="s">
        <v>309</v>
      </c>
      <c r="M72" s="1" t="s">
        <v>22</v>
      </c>
      <c r="N72" s="1" t="s">
        <v>118</v>
      </c>
      <c r="O72" s="1" t="s">
        <v>23</v>
      </c>
      <c r="P72" s="1" t="s">
        <v>41</v>
      </c>
      <c r="Q72" s="1" t="s">
        <v>310</v>
      </c>
      <c r="R72" s="1" t="s">
        <v>311</v>
      </c>
      <c r="S72" s="75">
        <v>44348</v>
      </c>
      <c r="T72" s="1">
        <v>0</v>
      </c>
      <c r="U72" s="1"/>
      <c r="V72" s="1" t="s">
        <v>36</v>
      </c>
      <c r="W72" s="1"/>
      <c r="X72" s="1"/>
      <c r="Y72" s="1"/>
      <c r="Z72" s="1" t="s">
        <v>1836</v>
      </c>
      <c r="AA72" s="75">
        <v>44348</v>
      </c>
      <c r="AB72" s="75">
        <v>44348</v>
      </c>
      <c r="AC72" s="88">
        <v>837760</v>
      </c>
      <c r="AD72" s="88">
        <v>25200000</v>
      </c>
    </row>
    <row r="73" spans="1:30" x14ac:dyDescent="0.4">
      <c r="A73" s="29">
        <v>70</v>
      </c>
      <c r="B73" s="29" t="str">
        <f t="shared" si="4"/>
        <v>070</v>
      </c>
      <c r="C73" s="29" t="str">
        <f t="shared" si="5"/>
        <v>D</v>
      </c>
      <c r="D73" s="29" t="str">
        <f t="shared" si="6"/>
        <v>B</v>
      </c>
      <c r="E73" s="29" t="str">
        <f t="shared" si="7"/>
        <v>F</v>
      </c>
      <c r="F73" s="1" t="s">
        <v>312</v>
      </c>
      <c r="G73" s="1" t="s">
        <v>304</v>
      </c>
      <c r="H73" s="1" t="s">
        <v>359</v>
      </c>
      <c r="I73" s="1" t="s">
        <v>19</v>
      </c>
      <c r="J73" s="1" t="s">
        <v>31</v>
      </c>
      <c r="K73" s="1"/>
      <c r="L73" s="1" t="s">
        <v>313</v>
      </c>
      <c r="M73" s="1" t="s">
        <v>22</v>
      </c>
      <c r="N73" s="1" t="s">
        <v>118</v>
      </c>
      <c r="O73" s="1" t="s">
        <v>23</v>
      </c>
      <c r="P73" s="1" t="s">
        <v>41</v>
      </c>
      <c r="Q73" s="1" t="s">
        <v>310</v>
      </c>
      <c r="R73" s="1" t="s">
        <v>314</v>
      </c>
      <c r="S73" s="75">
        <v>44348</v>
      </c>
      <c r="T73" s="1">
        <v>0</v>
      </c>
      <c r="U73" s="1"/>
      <c r="V73" s="1" t="s">
        <v>36</v>
      </c>
      <c r="W73" s="1"/>
      <c r="X73" s="1"/>
      <c r="Y73" s="1"/>
      <c r="Z73" s="1" t="s">
        <v>1836</v>
      </c>
      <c r="AA73" s="75">
        <v>44348</v>
      </c>
      <c r="AB73" s="75">
        <v>44348</v>
      </c>
      <c r="AC73" s="88">
        <v>837760</v>
      </c>
      <c r="AD73" s="88">
        <v>25200000</v>
      </c>
    </row>
    <row r="74" spans="1:30" ht="17.399999999999999" customHeight="1" x14ac:dyDescent="0.4">
      <c r="A74" s="29">
        <v>71</v>
      </c>
      <c r="B74" s="29" t="str">
        <f t="shared" si="4"/>
        <v>071</v>
      </c>
      <c r="C74" s="29" t="str">
        <f t="shared" si="5"/>
        <v>D</v>
      </c>
      <c r="D74" s="29" t="str">
        <f t="shared" si="6"/>
        <v>O</v>
      </c>
      <c r="E74" s="29" t="str">
        <f t="shared" si="7"/>
        <v>F</v>
      </c>
      <c r="F74" s="1" t="s">
        <v>315</v>
      </c>
      <c r="G74" s="1" t="s">
        <v>304</v>
      </c>
      <c r="H74" s="1" t="s">
        <v>359</v>
      </c>
      <c r="I74" s="1" t="s">
        <v>19</v>
      </c>
      <c r="J74" s="1" t="s">
        <v>31</v>
      </c>
      <c r="K74" s="1"/>
      <c r="L74" s="1" t="s">
        <v>316</v>
      </c>
      <c r="M74" s="1" t="s">
        <v>22</v>
      </c>
      <c r="N74" s="1" t="s">
        <v>118</v>
      </c>
      <c r="O74" s="1" t="s">
        <v>317</v>
      </c>
      <c r="P74" s="1" t="s">
        <v>41</v>
      </c>
      <c r="Q74" s="1" t="s">
        <v>318</v>
      </c>
      <c r="R74" s="1" t="s">
        <v>319</v>
      </c>
      <c r="S74" s="75">
        <v>44348</v>
      </c>
      <c r="T74" s="1">
        <v>0</v>
      </c>
      <c r="U74" s="1" t="s">
        <v>320</v>
      </c>
      <c r="V74" s="1" t="s">
        <v>27</v>
      </c>
      <c r="W74" s="1" t="s">
        <v>1830</v>
      </c>
      <c r="X74" s="1" t="s">
        <v>1836</v>
      </c>
      <c r="Y74" s="1" t="s">
        <v>1843</v>
      </c>
      <c r="Z74" s="1" t="s">
        <v>1836</v>
      </c>
      <c r="AA74" s="75">
        <v>44348</v>
      </c>
      <c r="AB74" s="75">
        <v>44348</v>
      </c>
      <c r="AC74" s="88">
        <v>906900</v>
      </c>
      <c r="AD74" s="88">
        <v>36250000</v>
      </c>
    </row>
    <row r="75" spans="1:30" ht="17.399999999999999" customHeight="1" x14ac:dyDescent="0.4">
      <c r="A75" s="29">
        <v>72</v>
      </c>
      <c r="B75" s="29" t="str">
        <f t="shared" si="4"/>
        <v>072</v>
      </c>
      <c r="C75" s="29" t="str">
        <f t="shared" si="5"/>
        <v>T</v>
      </c>
      <c r="D75" s="29" t="str">
        <f t="shared" si="6"/>
        <v>B</v>
      </c>
      <c r="E75" s="29" t="str">
        <f t="shared" si="7"/>
        <v>F</v>
      </c>
      <c r="F75" s="1" t="s">
        <v>321</v>
      </c>
      <c r="G75" s="1" t="s">
        <v>1844</v>
      </c>
      <c r="H75" s="1" t="s">
        <v>1844</v>
      </c>
      <c r="I75" s="1" t="s">
        <v>19</v>
      </c>
      <c r="J75" s="1" t="s">
        <v>31</v>
      </c>
      <c r="K75" s="1"/>
      <c r="L75" s="1" t="s">
        <v>323</v>
      </c>
      <c r="M75" s="1" t="s">
        <v>22</v>
      </c>
      <c r="N75" s="1" t="s">
        <v>81</v>
      </c>
      <c r="O75" s="1" t="s">
        <v>62</v>
      </c>
      <c r="P75" s="1" t="s">
        <v>124</v>
      </c>
      <c r="Q75" s="1"/>
      <c r="R75" s="1" t="s">
        <v>324</v>
      </c>
      <c r="S75" s="75">
        <v>41275</v>
      </c>
      <c r="T75" s="1">
        <v>0</v>
      </c>
      <c r="U75" s="1"/>
      <c r="V75" s="1" t="s">
        <v>36</v>
      </c>
      <c r="W75" s="1"/>
      <c r="X75" s="1"/>
      <c r="Y75" s="1"/>
      <c r="Z75" s="1" t="s">
        <v>1836</v>
      </c>
      <c r="AA75" s="75">
        <v>43617</v>
      </c>
      <c r="AB75" s="75">
        <v>43617</v>
      </c>
      <c r="AC75" s="88">
        <v>600000</v>
      </c>
      <c r="AD75" s="88">
        <v>8307000</v>
      </c>
    </row>
    <row r="76" spans="1:30" ht="17.399999999999999" customHeight="1" x14ac:dyDescent="0.4">
      <c r="A76" s="29">
        <v>73</v>
      </c>
      <c r="B76" s="29" t="str">
        <f t="shared" si="4"/>
        <v>073</v>
      </c>
      <c r="C76" s="29" t="str">
        <f t="shared" si="5"/>
        <v>C</v>
      </c>
      <c r="D76" s="29" t="str">
        <f t="shared" si="6"/>
        <v>O</v>
      </c>
      <c r="E76" s="29" t="str">
        <f t="shared" si="7"/>
        <v>F</v>
      </c>
      <c r="F76" s="1" t="s">
        <v>325</v>
      </c>
      <c r="G76" s="1" t="s">
        <v>675</v>
      </c>
      <c r="H76" s="1" t="s">
        <v>359</v>
      </c>
      <c r="I76" s="1" t="s">
        <v>19</v>
      </c>
      <c r="J76" s="1" t="s">
        <v>676</v>
      </c>
      <c r="K76" s="1" t="s">
        <v>1978</v>
      </c>
      <c r="L76" s="1" t="s">
        <v>1979</v>
      </c>
      <c r="M76" s="1" t="s">
        <v>22</v>
      </c>
      <c r="N76" s="1" t="s">
        <v>118</v>
      </c>
      <c r="O76" s="1" t="s">
        <v>33</v>
      </c>
      <c r="P76" s="1" t="s">
        <v>24</v>
      </c>
      <c r="Q76" s="1" t="s">
        <v>326</v>
      </c>
      <c r="R76" s="1" t="s">
        <v>327</v>
      </c>
      <c r="S76" s="75">
        <v>43466</v>
      </c>
      <c r="T76" s="1">
        <v>0</v>
      </c>
      <c r="U76" s="1" t="s">
        <v>328</v>
      </c>
      <c r="V76" s="1" t="s">
        <v>27</v>
      </c>
      <c r="W76" s="1" t="s">
        <v>1830</v>
      </c>
      <c r="X76" s="1" t="s">
        <v>1836</v>
      </c>
      <c r="Y76" s="1" t="s">
        <v>1839</v>
      </c>
      <c r="Z76" s="1" t="s">
        <v>1836</v>
      </c>
      <c r="AA76" s="75">
        <v>43524</v>
      </c>
      <c r="AB76" s="75">
        <v>45839</v>
      </c>
      <c r="AC76" s="88">
        <v>800000</v>
      </c>
      <c r="AD76" s="88">
        <v>29700000</v>
      </c>
    </row>
    <row r="77" spans="1:30" x14ac:dyDescent="0.4">
      <c r="A77" s="29">
        <v>74</v>
      </c>
      <c r="B77" s="29" t="str">
        <f t="shared" si="4"/>
        <v>074</v>
      </c>
      <c r="C77" s="29" t="str">
        <f t="shared" si="5"/>
        <v>C</v>
      </c>
      <c r="D77" s="29" t="str">
        <f t="shared" si="6"/>
        <v>B</v>
      </c>
      <c r="E77" s="29" t="str">
        <f t="shared" si="7"/>
        <v>F</v>
      </c>
      <c r="F77" s="1" t="s">
        <v>329</v>
      </c>
      <c r="G77" s="1" t="s">
        <v>1790</v>
      </c>
      <c r="H77" s="1" t="s">
        <v>1836</v>
      </c>
      <c r="I77" s="1" t="s">
        <v>19</v>
      </c>
      <c r="J77" s="1" t="s">
        <v>1362</v>
      </c>
      <c r="K77" s="1" t="s">
        <v>1790</v>
      </c>
      <c r="L77" s="1" t="s">
        <v>1814</v>
      </c>
      <c r="M77" s="1" t="s">
        <v>22</v>
      </c>
      <c r="N77" s="1" t="s">
        <v>118</v>
      </c>
      <c r="O77" s="1" t="s">
        <v>33</v>
      </c>
      <c r="P77" s="1" t="s">
        <v>24</v>
      </c>
      <c r="Q77" s="1"/>
      <c r="R77" s="1" t="s">
        <v>330</v>
      </c>
      <c r="S77" s="75">
        <v>44406</v>
      </c>
      <c r="T77" s="1">
        <v>0</v>
      </c>
      <c r="U77" s="1"/>
      <c r="V77" s="1" t="s">
        <v>36</v>
      </c>
      <c r="W77" s="1"/>
      <c r="X77" s="1"/>
      <c r="Y77" s="1"/>
      <c r="Z77" s="1" t="s">
        <v>1836</v>
      </c>
      <c r="AA77" s="75">
        <v>44408</v>
      </c>
      <c r="AB77" s="75">
        <v>45962</v>
      </c>
      <c r="AC77" s="88">
        <v>560000</v>
      </c>
      <c r="AD77" s="88">
        <v>31500000</v>
      </c>
    </row>
    <row r="78" spans="1:30" ht="17.399999999999999" customHeight="1" x14ac:dyDescent="0.4">
      <c r="A78" s="29">
        <v>75</v>
      </c>
      <c r="B78" s="29" t="str">
        <f t="shared" si="4"/>
        <v>075</v>
      </c>
      <c r="C78" s="29" t="str">
        <f t="shared" si="5"/>
        <v>C</v>
      </c>
      <c r="D78" s="29" t="str">
        <f t="shared" si="6"/>
        <v>O</v>
      </c>
      <c r="E78" s="29" t="str">
        <f t="shared" si="7"/>
        <v>F</v>
      </c>
      <c r="F78" s="1" t="s">
        <v>331</v>
      </c>
      <c r="G78" s="1" t="s">
        <v>1836</v>
      </c>
      <c r="H78" s="1" t="s">
        <v>1693</v>
      </c>
      <c r="I78" s="1" t="s">
        <v>736</v>
      </c>
      <c r="J78" s="1" t="s">
        <v>31</v>
      </c>
      <c r="K78" s="1" t="s">
        <v>1707</v>
      </c>
      <c r="L78" s="1" t="s">
        <v>332</v>
      </c>
      <c r="M78" s="1" t="s">
        <v>22</v>
      </c>
      <c r="N78" s="1" t="s">
        <v>118</v>
      </c>
      <c r="O78" s="1" t="s">
        <v>333</v>
      </c>
      <c r="P78" s="1" t="s">
        <v>24</v>
      </c>
      <c r="Q78" s="1" t="s">
        <v>334</v>
      </c>
      <c r="R78" s="1" t="s">
        <v>335</v>
      </c>
      <c r="S78" s="75">
        <v>39448</v>
      </c>
      <c r="T78" s="1">
        <v>0</v>
      </c>
      <c r="U78" s="1" t="s">
        <v>336</v>
      </c>
      <c r="V78" s="1" t="s">
        <v>36</v>
      </c>
      <c r="W78" s="1"/>
      <c r="X78" s="1"/>
      <c r="Y78" s="1"/>
      <c r="Z78" s="1" t="s">
        <v>1836</v>
      </c>
      <c r="AA78" s="75">
        <v>43344</v>
      </c>
      <c r="AB78" s="75">
        <v>45444</v>
      </c>
      <c r="AC78" s="88">
        <v>0</v>
      </c>
      <c r="AD78" s="88">
        <v>9830710</v>
      </c>
    </row>
    <row r="79" spans="1:30" ht="17.399999999999999" customHeight="1" x14ac:dyDescent="0.4">
      <c r="A79" s="29">
        <v>76</v>
      </c>
      <c r="B79" s="29" t="str">
        <f t="shared" si="4"/>
        <v>076</v>
      </c>
      <c r="C79" s="29" t="str">
        <f t="shared" si="5"/>
        <v>C</v>
      </c>
      <c r="D79" s="29" t="str">
        <f t="shared" si="6"/>
        <v>O</v>
      </c>
      <c r="E79" s="29" t="str">
        <f t="shared" si="7"/>
        <v>F</v>
      </c>
      <c r="F79" s="1" t="s">
        <v>337</v>
      </c>
      <c r="G79" s="1" t="s">
        <v>1844</v>
      </c>
      <c r="H79" s="1" t="s">
        <v>1844</v>
      </c>
      <c r="I79" s="1" t="s">
        <v>19</v>
      </c>
      <c r="J79" s="1" t="s">
        <v>31</v>
      </c>
      <c r="K79" s="1"/>
      <c r="L79" s="1" t="s">
        <v>338</v>
      </c>
      <c r="M79" s="1" t="s">
        <v>22</v>
      </c>
      <c r="N79" s="1" t="s">
        <v>118</v>
      </c>
      <c r="O79" s="1" t="s">
        <v>339</v>
      </c>
      <c r="P79" s="1" t="s">
        <v>24</v>
      </c>
      <c r="Q79" s="1" t="s">
        <v>340</v>
      </c>
      <c r="R79" s="1" t="s">
        <v>341</v>
      </c>
      <c r="S79" s="75">
        <v>43313</v>
      </c>
      <c r="T79" s="1">
        <v>0</v>
      </c>
      <c r="U79" s="1" t="s">
        <v>342</v>
      </c>
      <c r="V79" s="1" t="s">
        <v>27</v>
      </c>
      <c r="W79" s="1" t="s">
        <v>1830</v>
      </c>
      <c r="X79" s="1" t="s">
        <v>1836</v>
      </c>
      <c r="Y79" s="1" t="s">
        <v>1844</v>
      </c>
      <c r="Z79" s="1" t="s">
        <v>1836</v>
      </c>
      <c r="AA79" s="75">
        <v>43344</v>
      </c>
      <c r="AB79" s="75">
        <v>43344</v>
      </c>
      <c r="AC79" s="88">
        <v>1080000</v>
      </c>
      <c r="AD79" s="88">
        <v>44000000</v>
      </c>
    </row>
    <row r="80" spans="1:30" ht="17.399999999999999" customHeight="1" x14ac:dyDescent="0.4">
      <c r="A80" s="29">
        <v>77</v>
      </c>
      <c r="B80" s="29" t="str">
        <f t="shared" si="4"/>
        <v>077</v>
      </c>
      <c r="C80" s="29" t="str">
        <f t="shared" si="5"/>
        <v>C</v>
      </c>
      <c r="D80" s="29" t="str">
        <f t="shared" si="6"/>
        <v>O</v>
      </c>
      <c r="E80" s="29" t="str">
        <f t="shared" si="7"/>
        <v>F</v>
      </c>
      <c r="F80" s="1" t="s">
        <v>343</v>
      </c>
      <c r="G80" s="1" t="s">
        <v>1844</v>
      </c>
      <c r="H80" s="1" t="s">
        <v>1844</v>
      </c>
      <c r="I80" s="1" t="s">
        <v>19</v>
      </c>
      <c r="J80" s="1" t="s">
        <v>31</v>
      </c>
      <c r="K80" s="1"/>
      <c r="L80" s="1" t="s">
        <v>344</v>
      </c>
      <c r="M80" s="1" t="s">
        <v>22</v>
      </c>
      <c r="N80" s="1" t="s">
        <v>118</v>
      </c>
      <c r="O80" s="1" t="s">
        <v>345</v>
      </c>
      <c r="P80" s="1" t="s">
        <v>24</v>
      </c>
      <c r="Q80" s="1" t="s">
        <v>346</v>
      </c>
      <c r="R80" s="1" t="s">
        <v>347</v>
      </c>
      <c r="S80" s="75">
        <v>43805</v>
      </c>
      <c r="T80" s="1">
        <v>0</v>
      </c>
      <c r="U80" s="1" t="s">
        <v>348</v>
      </c>
      <c r="V80" s="1" t="s">
        <v>27</v>
      </c>
      <c r="W80" s="1" t="s">
        <v>1830</v>
      </c>
      <c r="X80" s="1" t="s">
        <v>1836</v>
      </c>
      <c r="Y80" s="1" t="s">
        <v>1844</v>
      </c>
      <c r="Z80" s="1" t="s">
        <v>1836</v>
      </c>
      <c r="AA80" s="75">
        <v>43810</v>
      </c>
      <c r="AB80" s="75">
        <v>43810</v>
      </c>
      <c r="AC80" s="88">
        <v>1500000</v>
      </c>
      <c r="AD80" s="88">
        <v>64600000</v>
      </c>
    </row>
    <row r="81" spans="1:30" ht="17.399999999999999" customHeight="1" x14ac:dyDescent="0.4">
      <c r="A81" s="29">
        <v>78</v>
      </c>
      <c r="B81" s="29" t="str">
        <f t="shared" si="4"/>
        <v>078</v>
      </c>
      <c r="C81" s="29" t="str">
        <f t="shared" si="5"/>
        <v>C</v>
      </c>
      <c r="D81" s="29" t="str">
        <f t="shared" si="6"/>
        <v>O</v>
      </c>
      <c r="E81" s="29" t="str">
        <f t="shared" si="7"/>
        <v>F</v>
      </c>
      <c r="F81" s="1" t="s">
        <v>349</v>
      </c>
      <c r="G81" s="1" t="s">
        <v>1836</v>
      </c>
      <c r="H81" s="1" t="s">
        <v>1693</v>
      </c>
      <c r="I81" s="1" t="s">
        <v>736</v>
      </c>
      <c r="J81" s="1" t="s">
        <v>31</v>
      </c>
      <c r="K81" s="1" t="s">
        <v>1707</v>
      </c>
      <c r="L81" s="1" t="s">
        <v>1708</v>
      </c>
      <c r="M81" s="1" t="s">
        <v>22</v>
      </c>
      <c r="N81" s="1" t="s">
        <v>118</v>
      </c>
      <c r="O81" s="1" t="s">
        <v>333</v>
      </c>
      <c r="P81" s="1" t="s">
        <v>24</v>
      </c>
      <c r="Q81" s="1" t="s">
        <v>350</v>
      </c>
      <c r="R81" s="1" t="s">
        <v>351</v>
      </c>
      <c r="S81" s="75">
        <v>40544</v>
      </c>
      <c r="T81" s="1">
        <v>0</v>
      </c>
      <c r="U81" s="1" t="s">
        <v>352</v>
      </c>
      <c r="V81" s="1" t="s">
        <v>36</v>
      </c>
      <c r="W81" s="1"/>
      <c r="X81" s="1"/>
      <c r="Y81" s="1"/>
      <c r="Z81" s="1" t="s">
        <v>1836</v>
      </c>
      <c r="AA81" s="75">
        <v>43344</v>
      </c>
      <c r="AB81" s="75">
        <v>45839</v>
      </c>
      <c r="AC81" s="88">
        <v>0</v>
      </c>
      <c r="AD81" s="88">
        <v>11000000</v>
      </c>
    </row>
    <row r="82" spans="1:30" ht="17.399999999999999" customHeight="1" x14ac:dyDescent="0.4">
      <c r="A82" s="29">
        <v>79</v>
      </c>
      <c r="B82" s="29" t="str">
        <f t="shared" si="4"/>
        <v>079</v>
      </c>
      <c r="C82" s="29" t="str">
        <f t="shared" si="5"/>
        <v>C</v>
      </c>
      <c r="D82" s="29" t="str">
        <f t="shared" si="6"/>
        <v>O</v>
      </c>
      <c r="E82" s="29" t="str">
        <f t="shared" si="7"/>
        <v>F</v>
      </c>
      <c r="F82" s="1" t="s">
        <v>353</v>
      </c>
      <c r="G82" s="1" t="s">
        <v>1844</v>
      </c>
      <c r="H82" s="1" t="s">
        <v>1844</v>
      </c>
      <c r="I82" s="1" t="s">
        <v>19</v>
      </c>
      <c r="J82" s="1" t="s">
        <v>31</v>
      </c>
      <c r="K82" s="1"/>
      <c r="L82" s="1" t="s">
        <v>354</v>
      </c>
      <c r="M82" s="1" t="s">
        <v>22</v>
      </c>
      <c r="N82" s="1" t="s">
        <v>118</v>
      </c>
      <c r="O82" s="1" t="s">
        <v>339</v>
      </c>
      <c r="P82" s="1" t="s">
        <v>24</v>
      </c>
      <c r="Q82" s="1" t="s">
        <v>340</v>
      </c>
      <c r="R82" s="1" t="s">
        <v>355</v>
      </c>
      <c r="S82" s="75">
        <v>44562</v>
      </c>
      <c r="T82" s="1">
        <v>0</v>
      </c>
      <c r="U82" s="1" t="s">
        <v>356</v>
      </c>
      <c r="V82" s="1" t="s">
        <v>27</v>
      </c>
      <c r="W82" s="1" t="s">
        <v>1830</v>
      </c>
      <c r="X82" s="1" t="s">
        <v>1836</v>
      </c>
      <c r="Y82" s="1" t="s">
        <v>1844</v>
      </c>
      <c r="Z82" s="1" t="s">
        <v>1836</v>
      </c>
      <c r="AA82" s="75">
        <v>44591</v>
      </c>
      <c r="AB82" s="75">
        <v>44591</v>
      </c>
      <c r="AC82" s="88">
        <v>1250000</v>
      </c>
      <c r="AD82" s="88">
        <v>51000000</v>
      </c>
    </row>
    <row r="83" spans="1:30" ht="17.399999999999999" customHeight="1" x14ac:dyDescent="0.4">
      <c r="A83" s="29">
        <v>80</v>
      </c>
      <c r="B83" s="29" t="str">
        <f t="shared" si="4"/>
        <v>080</v>
      </c>
      <c r="C83" s="29" t="str">
        <f t="shared" si="5"/>
        <v>D</v>
      </c>
      <c r="D83" s="29" t="str">
        <f t="shared" si="6"/>
        <v>O</v>
      </c>
      <c r="E83" s="29" t="str">
        <f t="shared" si="7"/>
        <v>F</v>
      </c>
      <c r="F83" s="1" t="s">
        <v>357</v>
      </c>
      <c r="G83" s="1" t="s">
        <v>278</v>
      </c>
      <c r="H83" s="1" t="s">
        <v>1693</v>
      </c>
      <c r="I83" s="1" t="s">
        <v>276</v>
      </c>
      <c r="J83" s="1" t="s">
        <v>1342</v>
      </c>
      <c r="K83" s="1" t="s">
        <v>276</v>
      </c>
      <c r="L83" s="1" t="s">
        <v>276</v>
      </c>
      <c r="M83" s="1" t="s">
        <v>22</v>
      </c>
      <c r="N83" s="1" t="s">
        <v>118</v>
      </c>
      <c r="O83" s="1" t="s">
        <v>282</v>
      </c>
      <c r="P83" s="1" t="s">
        <v>41</v>
      </c>
      <c r="Q83" s="1" t="s">
        <v>358</v>
      </c>
      <c r="R83" s="1" t="s">
        <v>1351</v>
      </c>
      <c r="S83" s="75">
        <v>42736</v>
      </c>
      <c r="T83" s="1">
        <v>0</v>
      </c>
      <c r="U83" s="1" t="s">
        <v>1352</v>
      </c>
      <c r="V83" s="1" t="s">
        <v>36</v>
      </c>
      <c r="W83" s="1"/>
      <c r="X83" s="1"/>
      <c r="Y83" s="1"/>
      <c r="Z83" s="1" t="s">
        <v>359</v>
      </c>
      <c r="AA83" s="75">
        <v>42979</v>
      </c>
      <c r="AB83" s="75">
        <v>45059</v>
      </c>
      <c r="AC83" s="88">
        <v>0</v>
      </c>
      <c r="AD83" s="88">
        <v>62500000</v>
      </c>
    </row>
    <row r="84" spans="1:30" ht="17.399999999999999" customHeight="1" x14ac:dyDescent="0.4">
      <c r="A84" s="29">
        <v>81</v>
      </c>
      <c r="B84" s="29" t="str">
        <f t="shared" si="4"/>
        <v>081</v>
      </c>
      <c r="C84" s="29" t="str">
        <f t="shared" si="5"/>
        <v>D</v>
      </c>
      <c r="D84" s="29" t="str">
        <f t="shared" si="6"/>
        <v>O</v>
      </c>
      <c r="E84" s="29" t="str">
        <f t="shared" si="7"/>
        <v>F</v>
      </c>
      <c r="F84" s="1" t="s">
        <v>360</v>
      </c>
      <c r="G84" s="1" t="s">
        <v>833</v>
      </c>
      <c r="H84" s="1" t="s">
        <v>1695</v>
      </c>
      <c r="I84" s="1" t="s">
        <v>19</v>
      </c>
      <c r="J84" s="1" t="s">
        <v>31</v>
      </c>
      <c r="K84" s="1" t="s">
        <v>833</v>
      </c>
      <c r="L84" s="1" t="s">
        <v>2016</v>
      </c>
      <c r="M84" s="1" t="s">
        <v>22</v>
      </c>
      <c r="N84" s="1" t="s">
        <v>118</v>
      </c>
      <c r="O84" s="1" t="s">
        <v>282</v>
      </c>
      <c r="P84" s="1" t="s">
        <v>41</v>
      </c>
      <c r="Q84" s="1" t="s">
        <v>358</v>
      </c>
      <c r="R84" s="1" t="s">
        <v>362</v>
      </c>
      <c r="S84" s="75">
        <v>43800</v>
      </c>
      <c r="T84" s="1">
        <v>0</v>
      </c>
      <c r="U84" s="1" t="s">
        <v>363</v>
      </c>
      <c r="V84" s="1" t="s">
        <v>27</v>
      </c>
      <c r="W84" s="1" t="s">
        <v>1830</v>
      </c>
      <c r="X84" s="1" t="s">
        <v>1836</v>
      </c>
      <c r="Y84" s="1" t="s">
        <v>1846</v>
      </c>
      <c r="Z84" s="1" t="s">
        <v>1836</v>
      </c>
      <c r="AA84" s="75">
        <v>43800</v>
      </c>
      <c r="AB84" s="75">
        <v>46023</v>
      </c>
      <c r="AC84" s="88">
        <v>1890000</v>
      </c>
      <c r="AD84" s="88">
        <v>61450000</v>
      </c>
    </row>
    <row r="85" spans="1:30" ht="17.399999999999999" customHeight="1" x14ac:dyDescent="0.4">
      <c r="A85" s="29">
        <v>82</v>
      </c>
      <c r="B85" s="29" t="str">
        <f t="shared" si="4"/>
        <v>082</v>
      </c>
      <c r="C85" s="29" t="str">
        <f t="shared" si="5"/>
        <v>D</v>
      </c>
      <c r="D85" s="29" t="str">
        <f t="shared" si="6"/>
        <v>O</v>
      </c>
      <c r="E85" s="29" t="str">
        <f t="shared" si="7"/>
        <v>F</v>
      </c>
      <c r="F85" s="1" t="s">
        <v>364</v>
      </c>
      <c r="G85" s="1" t="s">
        <v>76</v>
      </c>
      <c r="H85" s="1" t="s">
        <v>76</v>
      </c>
      <c r="I85" s="1" t="s">
        <v>19</v>
      </c>
      <c r="J85" s="1" t="s">
        <v>31</v>
      </c>
      <c r="K85" s="1" t="s">
        <v>76</v>
      </c>
      <c r="L85" s="1" t="s">
        <v>365</v>
      </c>
      <c r="M85" s="1" t="s">
        <v>22</v>
      </c>
      <c r="N85" s="1" t="s">
        <v>118</v>
      </c>
      <c r="O85" s="1" t="s">
        <v>339</v>
      </c>
      <c r="P85" s="1" t="s">
        <v>41</v>
      </c>
      <c r="Q85" s="1" t="s">
        <v>366</v>
      </c>
      <c r="R85" s="1" t="s">
        <v>367</v>
      </c>
      <c r="S85" s="75">
        <v>43556</v>
      </c>
      <c r="T85" s="1">
        <v>0</v>
      </c>
      <c r="U85" s="1" t="s">
        <v>368</v>
      </c>
      <c r="V85" s="1" t="s">
        <v>27</v>
      </c>
      <c r="W85" s="1" t="s">
        <v>1830</v>
      </c>
      <c r="X85" s="1" t="s">
        <v>1836</v>
      </c>
      <c r="Y85" s="1" t="s">
        <v>1834</v>
      </c>
      <c r="Z85" s="1" t="s">
        <v>1836</v>
      </c>
      <c r="AA85" s="75">
        <v>43556</v>
      </c>
      <c r="AB85" s="75">
        <v>45108</v>
      </c>
      <c r="AC85" s="88">
        <v>750000</v>
      </c>
      <c r="AD85" s="88">
        <v>47430000</v>
      </c>
    </row>
    <row r="86" spans="1:30" x14ac:dyDescent="0.4">
      <c r="A86" s="29">
        <v>83</v>
      </c>
      <c r="B86" s="29" t="str">
        <f t="shared" si="4"/>
        <v>083</v>
      </c>
      <c r="C86" s="29" t="str">
        <f t="shared" si="5"/>
        <v>C</v>
      </c>
      <c r="D86" s="29" t="str">
        <f t="shared" si="6"/>
        <v>B</v>
      </c>
      <c r="E86" s="29" t="str">
        <f t="shared" si="7"/>
        <v>F</v>
      </c>
      <c r="F86" s="1" t="s">
        <v>369</v>
      </c>
      <c r="G86" s="1" t="s">
        <v>370</v>
      </c>
      <c r="H86" s="1" t="s">
        <v>359</v>
      </c>
      <c r="I86" s="1" t="s">
        <v>19</v>
      </c>
      <c r="J86" s="1" t="s">
        <v>31</v>
      </c>
      <c r="K86" s="1" t="s">
        <v>371</v>
      </c>
      <c r="L86" s="1" t="s">
        <v>372</v>
      </c>
      <c r="M86" s="1" t="s">
        <v>22</v>
      </c>
      <c r="N86" s="1" t="s">
        <v>118</v>
      </c>
      <c r="O86" s="1" t="s">
        <v>62</v>
      </c>
      <c r="P86" s="1" t="s">
        <v>24</v>
      </c>
      <c r="Q86" s="1" t="s">
        <v>373</v>
      </c>
      <c r="R86" s="1" t="s">
        <v>374</v>
      </c>
      <c r="S86" s="75">
        <v>43070</v>
      </c>
      <c r="T86" s="1">
        <v>0</v>
      </c>
      <c r="U86" s="1"/>
      <c r="V86" s="1" t="s">
        <v>36</v>
      </c>
      <c r="W86" s="1"/>
      <c r="X86" s="1"/>
      <c r="Y86" s="1"/>
      <c r="Z86" s="1" t="s">
        <v>1836</v>
      </c>
      <c r="AA86" s="75">
        <v>43070</v>
      </c>
      <c r="AB86" s="75">
        <v>44986</v>
      </c>
      <c r="AC86" s="88">
        <v>650000</v>
      </c>
      <c r="AD86" s="88">
        <v>21600000</v>
      </c>
    </row>
    <row r="87" spans="1:30" x14ac:dyDescent="0.4">
      <c r="A87" s="29">
        <v>84</v>
      </c>
      <c r="B87" s="29" t="str">
        <f t="shared" si="4"/>
        <v>084</v>
      </c>
      <c r="C87" s="29" t="str">
        <f t="shared" si="5"/>
        <v>C</v>
      </c>
      <c r="D87" s="29" t="str">
        <f t="shared" si="6"/>
        <v>B</v>
      </c>
      <c r="E87" s="29" t="str">
        <f t="shared" si="7"/>
        <v>F</v>
      </c>
      <c r="F87" s="1" t="s">
        <v>375</v>
      </c>
      <c r="G87" s="1" t="s">
        <v>370</v>
      </c>
      <c r="H87" s="1" t="s">
        <v>359</v>
      </c>
      <c r="I87" s="1" t="s">
        <v>19</v>
      </c>
      <c r="J87" s="1" t="s">
        <v>31</v>
      </c>
      <c r="K87" s="1" t="s">
        <v>376</v>
      </c>
      <c r="L87" s="1" t="s">
        <v>377</v>
      </c>
      <c r="M87" s="1" t="s">
        <v>22</v>
      </c>
      <c r="N87" s="1" t="s">
        <v>118</v>
      </c>
      <c r="O87" s="1" t="s">
        <v>62</v>
      </c>
      <c r="P87" s="1" t="s">
        <v>24</v>
      </c>
      <c r="Q87" s="1" t="s">
        <v>373</v>
      </c>
      <c r="R87" s="1" t="s">
        <v>378</v>
      </c>
      <c r="S87" s="75">
        <v>43070</v>
      </c>
      <c r="T87" s="1">
        <v>0</v>
      </c>
      <c r="U87" s="1"/>
      <c r="V87" s="1" t="s">
        <v>27</v>
      </c>
      <c r="W87" s="1" t="s">
        <v>1830</v>
      </c>
      <c r="X87" s="1" t="s">
        <v>1836</v>
      </c>
      <c r="Y87" s="1" t="s">
        <v>1845</v>
      </c>
      <c r="Z87" s="1" t="s">
        <v>1836</v>
      </c>
      <c r="AA87" s="75">
        <v>43070</v>
      </c>
      <c r="AB87" s="75">
        <v>43070</v>
      </c>
      <c r="AC87" s="88">
        <v>650000</v>
      </c>
      <c r="AD87" s="88">
        <v>22600000</v>
      </c>
    </row>
    <row r="88" spans="1:30" x14ac:dyDescent="0.4">
      <c r="A88" s="29">
        <v>85</v>
      </c>
      <c r="B88" s="29" t="str">
        <f t="shared" si="4"/>
        <v>085</v>
      </c>
      <c r="C88" s="29" t="str">
        <f t="shared" si="5"/>
        <v>C</v>
      </c>
      <c r="D88" s="29" t="str">
        <f t="shared" si="6"/>
        <v>B</v>
      </c>
      <c r="E88" s="29" t="str">
        <f t="shared" si="7"/>
        <v>F</v>
      </c>
      <c r="F88" s="1" t="s">
        <v>379</v>
      </c>
      <c r="G88" s="1" t="s">
        <v>370</v>
      </c>
      <c r="H88" s="1" t="s">
        <v>359</v>
      </c>
      <c r="I88" s="1" t="s">
        <v>19</v>
      </c>
      <c r="J88" s="1" t="s">
        <v>31</v>
      </c>
      <c r="K88" s="1" t="s">
        <v>376</v>
      </c>
      <c r="L88" s="1" t="s">
        <v>380</v>
      </c>
      <c r="M88" s="1" t="s">
        <v>22</v>
      </c>
      <c r="N88" s="1" t="s">
        <v>118</v>
      </c>
      <c r="O88" s="1" t="s">
        <v>62</v>
      </c>
      <c r="P88" s="1" t="s">
        <v>24</v>
      </c>
      <c r="Q88" s="1" t="s">
        <v>373</v>
      </c>
      <c r="R88" s="1" t="s">
        <v>381</v>
      </c>
      <c r="S88" s="75">
        <v>43070</v>
      </c>
      <c r="T88" s="1">
        <v>0</v>
      </c>
      <c r="U88" s="1"/>
      <c r="V88" s="1" t="s">
        <v>36</v>
      </c>
      <c r="W88" s="1"/>
      <c r="X88" s="1"/>
      <c r="Y88" s="1"/>
      <c r="Z88" s="1" t="s">
        <v>1836</v>
      </c>
      <c r="AA88" s="75">
        <v>43070</v>
      </c>
      <c r="AB88" s="75">
        <v>43070</v>
      </c>
      <c r="AC88" s="88">
        <v>650000</v>
      </c>
      <c r="AD88" s="88">
        <v>22600000</v>
      </c>
    </row>
    <row r="89" spans="1:30" x14ac:dyDescent="0.4">
      <c r="A89" s="29">
        <v>86</v>
      </c>
      <c r="B89" s="29" t="str">
        <f t="shared" si="4"/>
        <v>086</v>
      </c>
      <c r="C89" s="29" t="str">
        <f t="shared" si="5"/>
        <v>C</v>
      </c>
      <c r="D89" s="29" t="str">
        <f t="shared" si="6"/>
        <v>B</v>
      </c>
      <c r="E89" s="29" t="str">
        <f t="shared" si="7"/>
        <v>F</v>
      </c>
      <c r="F89" s="1" t="s">
        <v>382</v>
      </c>
      <c r="G89" s="1" t="s">
        <v>18</v>
      </c>
      <c r="H89" s="1" t="s">
        <v>18</v>
      </c>
      <c r="I89" s="1" t="s">
        <v>19</v>
      </c>
      <c r="J89" s="1" t="s">
        <v>1362</v>
      </c>
      <c r="K89" s="1" t="s">
        <v>383</v>
      </c>
      <c r="L89" s="1" t="s">
        <v>384</v>
      </c>
      <c r="M89" s="1" t="s">
        <v>22</v>
      </c>
      <c r="N89" s="1" t="s">
        <v>118</v>
      </c>
      <c r="O89" s="1" t="s">
        <v>33</v>
      </c>
      <c r="P89" s="1" t="s">
        <v>24</v>
      </c>
      <c r="Q89" s="1" t="s">
        <v>385</v>
      </c>
      <c r="R89" s="1" t="s">
        <v>386</v>
      </c>
      <c r="S89" s="75">
        <v>43070</v>
      </c>
      <c r="T89" s="1">
        <v>0</v>
      </c>
      <c r="U89" s="1"/>
      <c r="V89" s="1" t="s">
        <v>27</v>
      </c>
      <c r="W89" s="1" t="s">
        <v>1830</v>
      </c>
      <c r="X89" s="1" t="s">
        <v>1836</v>
      </c>
      <c r="Y89" s="1" t="s">
        <v>1836</v>
      </c>
      <c r="Z89" s="1" t="s">
        <v>1836</v>
      </c>
      <c r="AA89" s="75">
        <v>43070</v>
      </c>
      <c r="AB89" s="75">
        <v>45352</v>
      </c>
      <c r="AC89" s="88">
        <v>530000</v>
      </c>
      <c r="AD89" s="88">
        <v>23794000</v>
      </c>
    </row>
    <row r="90" spans="1:30" x14ac:dyDescent="0.4">
      <c r="A90" s="29">
        <v>87</v>
      </c>
      <c r="B90" s="29" t="str">
        <f t="shared" si="4"/>
        <v>087</v>
      </c>
      <c r="C90" s="29" t="str">
        <f t="shared" si="5"/>
        <v>C</v>
      </c>
      <c r="D90" s="29" t="str">
        <f t="shared" si="6"/>
        <v>B</v>
      </c>
      <c r="E90" s="29" t="str">
        <f t="shared" si="7"/>
        <v>F</v>
      </c>
      <c r="F90" s="1" t="s">
        <v>387</v>
      </c>
      <c r="G90" s="1" t="s">
        <v>388</v>
      </c>
      <c r="H90" s="1" t="s">
        <v>1694</v>
      </c>
      <c r="I90" s="1" t="s">
        <v>19</v>
      </c>
      <c r="J90" s="1" t="s">
        <v>31</v>
      </c>
      <c r="K90" s="1" t="s">
        <v>388</v>
      </c>
      <c r="L90" s="1" t="s">
        <v>389</v>
      </c>
      <c r="M90" s="1" t="s">
        <v>22</v>
      </c>
      <c r="N90" s="1" t="s">
        <v>118</v>
      </c>
      <c r="O90" s="1" t="s">
        <v>33</v>
      </c>
      <c r="P90" s="1" t="s">
        <v>24</v>
      </c>
      <c r="Q90" s="1" t="s">
        <v>390</v>
      </c>
      <c r="R90" s="1" t="s">
        <v>391</v>
      </c>
      <c r="S90" s="75">
        <v>43070</v>
      </c>
      <c r="T90" s="1">
        <v>0</v>
      </c>
      <c r="U90" s="1"/>
      <c r="V90" s="1" t="s">
        <v>27</v>
      </c>
      <c r="W90" s="1" t="s">
        <v>1830</v>
      </c>
      <c r="X90" s="1" t="s">
        <v>1836</v>
      </c>
      <c r="Y90" s="1" t="s">
        <v>1864</v>
      </c>
      <c r="Z90" s="1" t="s">
        <v>1836</v>
      </c>
      <c r="AA90" s="75">
        <v>43070</v>
      </c>
      <c r="AB90" s="75">
        <v>45666</v>
      </c>
      <c r="AC90" s="88">
        <v>700000</v>
      </c>
      <c r="AD90" s="88">
        <v>20500000</v>
      </c>
    </row>
    <row r="91" spans="1:30" x14ac:dyDescent="0.4">
      <c r="A91" s="29">
        <v>88</v>
      </c>
      <c r="B91" s="29" t="str">
        <f t="shared" si="4"/>
        <v>088</v>
      </c>
      <c r="C91" s="29" t="str">
        <f t="shared" si="5"/>
        <v>C</v>
      </c>
      <c r="D91" s="29" t="str">
        <f t="shared" si="6"/>
        <v>B</v>
      </c>
      <c r="E91" s="29" t="str">
        <f t="shared" si="7"/>
        <v>F</v>
      </c>
      <c r="F91" s="1" t="s">
        <v>1736</v>
      </c>
      <c r="G91" s="1" t="s">
        <v>392</v>
      </c>
      <c r="H91" s="1" t="s">
        <v>392</v>
      </c>
      <c r="I91" s="1" t="s">
        <v>19</v>
      </c>
      <c r="J91" s="1" t="s">
        <v>1362</v>
      </c>
      <c r="K91" s="1" t="s">
        <v>393</v>
      </c>
      <c r="L91" s="1" t="s">
        <v>394</v>
      </c>
      <c r="M91" s="1" t="s">
        <v>22</v>
      </c>
      <c r="N91" s="1" t="s">
        <v>118</v>
      </c>
      <c r="O91" s="1" t="s">
        <v>33</v>
      </c>
      <c r="P91" s="1" t="s">
        <v>24</v>
      </c>
      <c r="Q91" s="1" t="s">
        <v>390</v>
      </c>
      <c r="R91" s="1" t="s">
        <v>395</v>
      </c>
      <c r="S91" s="75">
        <v>43070</v>
      </c>
      <c r="T91" s="1">
        <v>0</v>
      </c>
      <c r="U91" s="1"/>
      <c r="V91" s="1" t="s">
        <v>36</v>
      </c>
      <c r="W91" s="1"/>
      <c r="X91" s="1"/>
      <c r="Y91" s="1"/>
      <c r="Z91" s="1" t="s">
        <v>1836</v>
      </c>
      <c r="AA91" s="75">
        <v>43070</v>
      </c>
      <c r="AB91" s="75">
        <v>45444</v>
      </c>
      <c r="AC91" s="88">
        <v>530000</v>
      </c>
      <c r="AD91" s="88">
        <v>20600000</v>
      </c>
    </row>
    <row r="92" spans="1:30" x14ac:dyDescent="0.4">
      <c r="A92" s="29">
        <v>89</v>
      </c>
      <c r="B92" s="29" t="str">
        <f t="shared" si="4"/>
        <v>089</v>
      </c>
      <c r="C92" s="29" t="str">
        <f t="shared" si="5"/>
        <v>C</v>
      </c>
      <c r="D92" s="29" t="str">
        <f t="shared" si="6"/>
        <v>B</v>
      </c>
      <c r="E92" s="29" t="str">
        <f t="shared" si="7"/>
        <v>F</v>
      </c>
      <c r="F92" s="1" t="s">
        <v>396</v>
      </c>
      <c r="G92" s="1" t="s">
        <v>392</v>
      </c>
      <c r="H92" s="1" t="s">
        <v>392</v>
      </c>
      <c r="I92" s="1" t="s">
        <v>19</v>
      </c>
      <c r="J92" s="1" t="s">
        <v>1362</v>
      </c>
      <c r="K92" s="1" t="s">
        <v>392</v>
      </c>
      <c r="L92" s="1" t="s">
        <v>397</v>
      </c>
      <c r="M92" s="1" t="s">
        <v>22</v>
      </c>
      <c r="N92" s="1" t="s">
        <v>118</v>
      </c>
      <c r="O92" s="1" t="s">
        <v>23</v>
      </c>
      <c r="P92" s="1" t="s">
        <v>24</v>
      </c>
      <c r="Q92" s="1" t="s">
        <v>25</v>
      </c>
      <c r="R92" s="1" t="s">
        <v>398</v>
      </c>
      <c r="S92" s="75">
        <v>43070</v>
      </c>
      <c r="T92" s="1">
        <v>0</v>
      </c>
      <c r="U92" s="1"/>
      <c r="V92" s="1" t="s">
        <v>36</v>
      </c>
      <c r="W92" s="1"/>
      <c r="X92" s="1"/>
      <c r="Y92" s="1"/>
      <c r="Z92" s="1" t="s">
        <v>1836</v>
      </c>
      <c r="AA92" s="75">
        <v>43070</v>
      </c>
      <c r="AB92" s="75">
        <v>45474</v>
      </c>
      <c r="AC92" s="88">
        <v>550000</v>
      </c>
      <c r="AD92" s="88">
        <v>23500000</v>
      </c>
    </row>
    <row r="93" spans="1:30" x14ac:dyDescent="0.4">
      <c r="A93" s="29">
        <v>90</v>
      </c>
      <c r="B93" s="29" t="str">
        <f t="shared" si="4"/>
        <v>090</v>
      </c>
      <c r="C93" s="29" t="str">
        <f t="shared" si="5"/>
        <v>C</v>
      </c>
      <c r="D93" s="29" t="str">
        <f t="shared" si="6"/>
        <v>B</v>
      </c>
      <c r="E93" s="29" t="str">
        <f t="shared" si="7"/>
        <v>F</v>
      </c>
      <c r="F93" s="1" t="s">
        <v>399</v>
      </c>
      <c r="G93" s="1" t="s">
        <v>400</v>
      </c>
      <c r="H93" s="1" t="s">
        <v>359</v>
      </c>
      <c r="I93" s="1" t="s">
        <v>19</v>
      </c>
      <c r="J93" s="1" t="s">
        <v>31</v>
      </c>
      <c r="K93" s="1" t="s">
        <v>401</v>
      </c>
      <c r="L93" s="1" t="s">
        <v>402</v>
      </c>
      <c r="M93" s="1" t="s">
        <v>22</v>
      </c>
      <c r="N93" s="1" t="s">
        <v>118</v>
      </c>
      <c r="O93" s="1" t="s">
        <v>23</v>
      </c>
      <c r="P93" s="1" t="s">
        <v>24</v>
      </c>
      <c r="Q93" s="1" t="s">
        <v>25</v>
      </c>
      <c r="R93" s="1" t="s">
        <v>403</v>
      </c>
      <c r="S93" s="75">
        <v>43070</v>
      </c>
      <c r="T93" s="1">
        <v>0</v>
      </c>
      <c r="U93" s="1"/>
      <c r="V93" s="1" t="s">
        <v>36</v>
      </c>
      <c r="W93" s="1"/>
      <c r="X93" s="1"/>
      <c r="Y93" s="1"/>
      <c r="Z93" s="1" t="s">
        <v>1836</v>
      </c>
      <c r="AA93" s="75">
        <v>43070</v>
      </c>
      <c r="AB93" s="75">
        <v>43070</v>
      </c>
      <c r="AC93" s="88">
        <v>650000</v>
      </c>
      <c r="AD93" s="88">
        <v>25000000</v>
      </c>
    </row>
    <row r="94" spans="1:30" x14ac:dyDescent="0.4">
      <c r="A94" s="29">
        <v>91</v>
      </c>
      <c r="B94" s="29" t="str">
        <f t="shared" si="4"/>
        <v>091</v>
      </c>
      <c r="C94" s="29" t="str">
        <f t="shared" si="5"/>
        <v>C</v>
      </c>
      <c r="D94" s="29" t="str">
        <f t="shared" si="6"/>
        <v>B</v>
      </c>
      <c r="E94" s="29" t="str">
        <f t="shared" si="7"/>
        <v>F</v>
      </c>
      <c r="F94" s="1" t="s">
        <v>404</v>
      </c>
      <c r="G94" s="1" t="s">
        <v>400</v>
      </c>
      <c r="H94" s="1" t="s">
        <v>359</v>
      </c>
      <c r="I94" s="1" t="s">
        <v>19</v>
      </c>
      <c r="J94" s="1" t="s">
        <v>31</v>
      </c>
      <c r="K94" s="1" t="s">
        <v>371</v>
      </c>
      <c r="L94" s="1" t="s">
        <v>405</v>
      </c>
      <c r="M94" s="1" t="s">
        <v>22</v>
      </c>
      <c r="N94" s="1" t="s">
        <v>118</v>
      </c>
      <c r="O94" s="1" t="s">
        <v>62</v>
      </c>
      <c r="P94" s="1" t="s">
        <v>24</v>
      </c>
      <c r="Q94" s="1" t="s">
        <v>373</v>
      </c>
      <c r="R94" s="1" t="s">
        <v>406</v>
      </c>
      <c r="S94" s="75">
        <v>43070</v>
      </c>
      <c r="T94" s="1">
        <v>0</v>
      </c>
      <c r="U94" s="1"/>
      <c r="V94" s="1" t="s">
        <v>27</v>
      </c>
      <c r="W94" s="1" t="s">
        <v>1830</v>
      </c>
      <c r="X94" s="1" t="s">
        <v>1836</v>
      </c>
      <c r="Y94" s="1" t="s">
        <v>1846</v>
      </c>
      <c r="Z94" s="1" t="s">
        <v>1836</v>
      </c>
      <c r="AA94" s="75">
        <v>43070</v>
      </c>
      <c r="AB94" s="75">
        <v>44986</v>
      </c>
      <c r="AC94" s="88">
        <v>650000</v>
      </c>
      <c r="AD94" s="88">
        <v>21600000</v>
      </c>
    </row>
    <row r="95" spans="1:30" x14ac:dyDescent="0.4">
      <c r="A95" s="29">
        <v>92</v>
      </c>
      <c r="B95" s="29" t="str">
        <f t="shared" si="4"/>
        <v>092</v>
      </c>
      <c r="C95" s="29" t="str">
        <f t="shared" si="5"/>
        <v>C</v>
      </c>
      <c r="D95" s="29" t="str">
        <f t="shared" si="6"/>
        <v>B</v>
      </c>
      <c r="E95" s="29" t="str">
        <f t="shared" si="7"/>
        <v>F</v>
      </c>
      <c r="F95" s="1" t="s">
        <v>407</v>
      </c>
      <c r="G95" s="1" t="s">
        <v>1836</v>
      </c>
      <c r="H95" s="1" t="s">
        <v>1693</v>
      </c>
      <c r="I95" s="1" t="s">
        <v>736</v>
      </c>
      <c r="J95" s="1" t="s">
        <v>31</v>
      </c>
      <c r="K95" s="1" t="s">
        <v>1707</v>
      </c>
      <c r="L95" s="1" t="s">
        <v>2017</v>
      </c>
      <c r="M95" s="1" t="s">
        <v>22</v>
      </c>
      <c r="N95" s="1" t="s">
        <v>118</v>
      </c>
      <c r="O95" s="1" t="s">
        <v>33</v>
      </c>
      <c r="P95" s="1" t="s">
        <v>24</v>
      </c>
      <c r="Q95" s="1" t="s">
        <v>390</v>
      </c>
      <c r="R95" s="1" t="s">
        <v>408</v>
      </c>
      <c r="S95" s="75">
        <v>43070</v>
      </c>
      <c r="T95" s="1">
        <v>0</v>
      </c>
      <c r="U95" s="1"/>
      <c r="V95" s="1" t="s">
        <v>36</v>
      </c>
      <c r="W95" s="1"/>
      <c r="X95" s="1"/>
      <c r="Y95" s="1"/>
      <c r="Z95" s="1" t="s">
        <v>1836</v>
      </c>
      <c r="AA95" s="75">
        <v>43070</v>
      </c>
      <c r="AB95" s="75">
        <v>46002</v>
      </c>
      <c r="AC95" s="88">
        <v>0</v>
      </c>
      <c r="AD95" s="88">
        <v>20500000</v>
      </c>
    </row>
    <row r="96" spans="1:30" x14ac:dyDescent="0.4">
      <c r="A96" s="29">
        <v>93</v>
      </c>
      <c r="B96" s="29" t="str">
        <f t="shared" si="4"/>
        <v>093</v>
      </c>
      <c r="C96" s="29" t="str">
        <f t="shared" si="5"/>
        <v>C</v>
      </c>
      <c r="D96" s="29" t="str">
        <f t="shared" si="6"/>
        <v>B</v>
      </c>
      <c r="E96" s="29" t="str">
        <f t="shared" si="7"/>
        <v>F</v>
      </c>
      <c r="F96" s="1" t="s">
        <v>409</v>
      </c>
      <c r="G96" s="1" t="s">
        <v>400</v>
      </c>
      <c r="H96" s="1" t="s">
        <v>359</v>
      </c>
      <c r="I96" s="1" t="s">
        <v>19</v>
      </c>
      <c r="J96" s="1" t="s">
        <v>31</v>
      </c>
      <c r="K96" s="1" t="s">
        <v>410</v>
      </c>
      <c r="L96" s="1" t="s">
        <v>411</v>
      </c>
      <c r="M96" s="1" t="s">
        <v>22</v>
      </c>
      <c r="N96" s="1" t="s">
        <v>118</v>
      </c>
      <c r="O96" s="1" t="s">
        <v>23</v>
      </c>
      <c r="P96" s="1" t="s">
        <v>24</v>
      </c>
      <c r="Q96" s="1" t="s">
        <v>25</v>
      </c>
      <c r="R96" s="1" t="s">
        <v>412</v>
      </c>
      <c r="S96" s="75">
        <v>43070</v>
      </c>
      <c r="T96" s="1">
        <v>0</v>
      </c>
      <c r="U96" s="1"/>
      <c r="V96" s="1" t="s">
        <v>36</v>
      </c>
      <c r="W96" s="1"/>
      <c r="X96" s="1"/>
      <c r="Y96" s="1"/>
      <c r="Z96" s="1" t="s">
        <v>1836</v>
      </c>
      <c r="AA96" s="75">
        <v>43070</v>
      </c>
      <c r="AB96" s="75">
        <v>43070</v>
      </c>
      <c r="AC96" s="88">
        <v>650000</v>
      </c>
      <c r="AD96" s="88">
        <v>25000000</v>
      </c>
    </row>
    <row r="97" spans="1:30" ht="17.399999999999999" customHeight="1" x14ac:dyDescent="0.4">
      <c r="A97" s="29">
        <v>94</v>
      </c>
      <c r="B97" s="29" t="str">
        <f t="shared" si="4"/>
        <v>094</v>
      </c>
      <c r="C97" s="29" t="str">
        <f t="shared" si="5"/>
        <v>E</v>
      </c>
      <c r="D97" s="29" t="str">
        <f t="shared" si="6"/>
        <v>B</v>
      </c>
      <c r="E97" s="29" t="str">
        <f t="shared" si="7"/>
        <v>H</v>
      </c>
      <c r="F97" s="1" t="s">
        <v>1885</v>
      </c>
      <c r="G97" s="1" t="s">
        <v>413</v>
      </c>
      <c r="H97" s="1" t="s">
        <v>265</v>
      </c>
      <c r="I97" s="1" t="s">
        <v>19</v>
      </c>
      <c r="J97" s="1" t="s">
        <v>414</v>
      </c>
      <c r="K97" s="1" t="s">
        <v>415</v>
      </c>
      <c r="L97" s="1" t="s">
        <v>416</v>
      </c>
      <c r="M97" s="1" t="s">
        <v>22</v>
      </c>
      <c r="N97" s="1" t="s">
        <v>1886</v>
      </c>
      <c r="O97" s="1" t="s">
        <v>300</v>
      </c>
      <c r="P97" s="1" t="s">
        <v>417</v>
      </c>
      <c r="Q97" s="1"/>
      <c r="R97" s="1"/>
      <c r="S97" s="75">
        <v>43466</v>
      </c>
      <c r="T97" s="1">
        <v>0</v>
      </c>
      <c r="U97" s="1"/>
      <c r="V97" s="1" t="s">
        <v>36</v>
      </c>
      <c r="W97" s="1"/>
      <c r="X97" s="1"/>
      <c r="Y97" s="1"/>
      <c r="Z97" s="1" t="s">
        <v>265</v>
      </c>
      <c r="AA97" s="75">
        <v>43466</v>
      </c>
      <c r="AB97" s="75">
        <v>43466</v>
      </c>
      <c r="AC97" s="88">
        <v>120000</v>
      </c>
      <c r="AD97" s="88">
        <v>3000000</v>
      </c>
    </row>
    <row r="98" spans="1:30" ht="17.399999999999999" customHeight="1" x14ac:dyDescent="0.4">
      <c r="A98" s="29">
        <v>95</v>
      </c>
      <c r="B98" s="29" t="str">
        <f t="shared" si="4"/>
        <v>095</v>
      </c>
      <c r="C98" s="29" t="str">
        <f t="shared" si="5"/>
        <v>E</v>
      </c>
      <c r="D98" s="29" t="str">
        <f t="shared" si="6"/>
        <v>B</v>
      </c>
      <c r="E98" s="29" t="str">
        <f t="shared" si="7"/>
        <v>H</v>
      </c>
      <c r="F98" s="1" t="s">
        <v>1887</v>
      </c>
      <c r="G98" s="1" t="s">
        <v>413</v>
      </c>
      <c r="H98" s="1" t="s">
        <v>265</v>
      </c>
      <c r="I98" s="1" t="s">
        <v>19</v>
      </c>
      <c r="J98" s="1" t="s">
        <v>414</v>
      </c>
      <c r="K98" s="1" t="s">
        <v>415</v>
      </c>
      <c r="L98" s="1" t="s">
        <v>418</v>
      </c>
      <c r="M98" s="1" t="s">
        <v>22</v>
      </c>
      <c r="N98" s="1" t="s">
        <v>1886</v>
      </c>
      <c r="O98" s="1" t="s">
        <v>300</v>
      </c>
      <c r="P98" s="1" t="s">
        <v>417</v>
      </c>
      <c r="Q98" s="1"/>
      <c r="R98" s="1"/>
      <c r="S98" s="75">
        <v>43466</v>
      </c>
      <c r="T98" s="1">
        <v>0</v>
      </c>
      <c r="U98" s="1"/>
      <c r="V98" s="1" t="s">
        <v>36</v>
      </c>
      <c r="W98" s="1"/>
      <c r="X98" s="1"/>
      <c r="Y98" s="1"/>
      <c r="Z98" s="1" t="s">
        <v>265</v>
      </c>
      <c r="AA98" s="75">
        <v>43466</v>
      </c>
      <c r="AB98" s="75">
        <v>43466</v>
      </c>
      <c r="AC98" s="88">
        <v>120000</v>
      </c>
      <c r="AD98" s="88">
        <v>3000000</v>
      </c>
    </row>
    <row r="99" spans="1:30" ht="17.399999999999999" customHeight="1" x14ac:dyDescent="0.4">
      <c r="A99" s="29">
        <v>96</v>
      </c>
      <c r="B99" s="29" t="str">
        <f t="shared" si="4"/>
        <v>096</v>
      </c>
      <c r="C99" s="29" t="str">
        <f t="shared" si="5"/>
        <v>E</v>
      </c>
      <c r="D99" s="29" t="str">
        <f t="shared" si="6"/>
        <v>B</v>
      </c>
      <c r="E99" s="29" t="str">
        <f t="shared" si="7"/>
        <v>H</v>
      </c>
      <c r="F99" s="1" t="s">
        <v>1888</v>
      </c>
      <c r="G99" s="1" t="s">
        <v>413</v>
      </c>
      <c r="H99" s="1" t="s">
        <v>265</v>
      </c>
      <c r="I99" s="1" t="s">
        <v>19</v>
      </c>
      <c r="J99" s="1" t="s">
        <v>414</v>
      </c>
      <c r="K99" s="1" t="s">
        <v>415</v>
      </c>
      <c r="L99" s="1" t="s">
        <v>419</v>
      </c>
      <c r="M99" s="1" t="s">
        <v>22</v>
      </c>
      <c r="N99" s="1" t="s">
        <v>1886</v>
      </c>
      <c r="O99" s="1" t="s">
        <v>300</v>
      </c>
      <c r="P99" s="1" t="s">
        <v>417</v>
      </c>
      <c r="Q99" s="1"/>
      <c r="R99" s="1"/>
      <c r="S99" s="75">
        <v>43466</v>
      </c>
      <c r="T99" s="1">
        <v>0</v>
      </c>
      <c r="U99" s="1"/>
      <c r="V99" s="1" t="s">
        <v>36</v>
      </c>
      <c r="W99" s="1"/>
      <c r="X99" s="1"/>
      <c r="Y99" s="1"/>
      <c r="Z99" s="1" t="s">
        <v>265</v>
      </c>
      <c r="AA99" s="75">
        <v>43466</v>
      </c>
      <c r="AB99" s="75">
        <v>43466</v>
      </c>
      <c r="AC99" s="88">
        <v>120000</v>
      </c>
      <c r="AD99" s="88">
        <v>3000000</v>
      </c>
    </row>
    <row r="100" spans="1:30" x14ac:dyDescent="0.4">
      <c r="A100" s="29">
        <v>97</v>
      </c>
      <c r="B100" s="29" t="str">
        <f t="shared" si="4"/>
        <v>097</v>
      </c>
      <c r="C100" s="29" t="str">
        <f t="shared" si="5"/>
        <v>D</v>
      </c>
      <c r="D100" s="29" t="str">
        <f t="shared" si="6"/>
        <v>B</v>
      </c>
      <c r="E100" s="29" t="str">
        <f t="shared" si="7"/>
        <v>F</v>
      </c>
      <c r="F100" s="1" t="s">
        <v>420</v>
      </c>
      <c r="G100" s="1" t="s">
        <v>421</v>
      </c>
      <c r="H100" s="1" t="s">
        <v>421</v>
      </c>
      <c r="I100" s="1" t="s">
        <v>19</v>
      </c>
      <c r="J100" s="1" t="s">
        <v>414</v>
      </c>
      <c r="K100" s="1" t="s">
        <v>422</v>
      </c>
      <c r="L100" s="1" t="s">
        <v>423</v>
      </c>
      <c r="M100" s="1" t="s">
        <v>22</v>
      </c>
      <c r="N100" s="1" t="s">
        <v>118</v>
      </c>
      <c r="O100" s="1" t="s">
        <v>33</v>
      </c>
      <c r="P100" s="1" t="s">
        <v>41</v>
      </c>
      <c r="Q100" s="1" t="s">
        <v>424</v>
      </c>
      <c r="R100" s="1" t="s">
        <v>425</v>
      </c>
      <c r="S100" s="75">
        <v>44819</v>
      </c>
      <c r="T100" s="1">
        <v>0</v>
      </c>
      <c r="U100" s="1"/>
      <c r="V100" s="1" t="s">
        <v>27</v>
      </c>
      <c r="W100" s="1" t="s">
        <v>1830</v>
      </c>
      <c r="X100" s="1" t="s">
        <v>1836</v>
      </c>
      <c r="Y100" s="1" t="s">
        <v>1847</v>
      </c>
      <c r="Z100" s="1" t="s">
        <v>1836</v>
      </c>
      <c r="AA100" s="75">
        <v>44819</v>
      </c>
      <c r="AB100" s="75">
        <v>44819</v>
      </c>
      <c r="AC100" s="88">
        <v>700000</v>
      </c>
      <c r="AD100" s="88">
        <v>32760000</v>
      </c>
    </row>
    <row r="101" spans="1:30" ht="17.399999999999999" customHeight="1" x14ac:dyDescent="0.4">
      <c r="A101" s="29">
        <v>98</v>
      </c>
      <c r="B101" s="29" t="str">
        <f t="shared" si="4"/>
        <v>098</v>
      </c>
      <c r="C101" s="29" t="str">
        <f t="shared" si="5"/>
        <v>D</v>
      </c>
      <c r="D101" s="29" t="str">
        <f t="shared" si="6"/>
        <v>O</v>
      </c>
      <c r="E101" s="29" t="str">
        <f t="shared" si="7"/>
        <v>F</v>
      </c>
      <c r="F101" s="1" t="s">
        <v>426</v>
      </c>
      <c r="G101" s="1" t="s">
        <v>1836</v>
      </c>
      <c r="H101" s="1" t="s">
        <v>1693</v>
      </c>
      <c r="I101" s="1" t="s">
        <v>736</v>
      </c>
      <c r="J101" s="1" t="s">
        <v>31</v>
      </c>
      <c r="K101" s="1" t="s">
        <v>2034</v>
      </c>
      <c r="L101" s="1" t="s">
        <v>2055</v>
      </c>
      <c r="M101" s="1" t="s">
        <v>22</v>
      </c>
      <c r="N101" s="1" t="s">
        <v>118</v>
      </c>
      <c r="O101" s="1" t="s">
        <v>23</v>
      </c>
      <c r="P101" s="1" t="s">
        <v>41</v>
      </c>
      <c r="Q101" s="1" t="s">
        <v>430</v>
      </c>
      <c r="R101" s="1" t="s">
        <v>431</v>
      </c>
      <c r="S101" s="75">
        <v>41730</v>
      </c>
      <c r="T101" s="1">
        <v>0</v>
      </c>
      <c r="U101" s="1" t="s">
        <v>432</v>
      </c>
      <c r="V101" s="1" t="s">
        <v>36</v>
      </c>
      <c r="W101" s="1"/>
      <c r="X101" s="1"/>
      <c r="Y101" s="1"/>
      <c r="Z101" s="1" t="s">
        <v>1836</v>
      </c>
      <c r="AA101" s="75">
        <v>41730</v>
      </c>
      <c r="AB101" s="75">
        <v>46102</v>
      </c>
      <c r="AC101" s="88">
        <v>0</v>
      </c>
      <c r="AD101" s="88">
        <v>33200000</v>
      </c>
    </row>
    <row r="102" spans="1:30" x14ac:dyDescent="0.4">
      <c r="A102" s="29">
        <v>99</v>
      </c>
      <c r="B102" s="29" t="str">
        <f t="shared" si="4"/>
        <v>099</v>
      </c>
      <c r="C102" s="29" t="str">
        <f t="shared" si="5"/>
        <v>C</v>
      </c>
      <c r="D102" s="29" t="str">
        <f t="shared" si="6"/>
        <v>B</v>
      </c>
      <c r="E102" s="29" t="str">
        <f t="shared" si="7"/>
        <v>F</v>
      </c>
      <c r="F102" s="1" t="s">
        <v>433</v>
      </c>
      <c r="G102" s="1" t="s">
        <v>434</v>
      </c>
      <c r="H102" s="1" t="s">
        <v>434</v>
      </c>
      <c r="I102" s="1" t="s">
        <v>19</v>
      </c>
      <c r="J102" s="1" t="s">
        <v>1362</v>
      </c>
      <c r="K102" s="1" t="s">
        <v>435</v>
      </c>
      <c r="L102" s="1" t="s">
        <v>436</v>
      </c>
      <c r="M102" s="1" t="s">
        <v>22</v>
      </c>
      <c r="N102" s="1" t="s">
        <v>118</v>
      </c>
      <c r="O102" s="1" t="s">
        <v>23</v>
      </c>
      <c r="P102" s="1" t="s">
        <v>24</v>
      </c>
      <c r="Q102" s="1" t="s">
        <v>437</v>
      </c>
      <c r="R102" s="1" t="s">
        <v>438</v>
      </c>
      <c r="S102" s="75">
        <v>40848</v>
      </c>
      <c r="T102" s="1">
        <v>0</v>
      </c>
      <c r="U102" s="1"/>
      <c r="V102" s="1" t="s">
        <v>27</v>
      </c>
      <c r="W102" s="1" t="s">
        <v>1830</v>
      </c>
      <c r="X102" s="1" t="s">
        <v>1836</v>
      </c>
      <c r="Y102" s="1" t="s">
        <v>435</v>
      </c>
      <c r="Z102" s="1" t="s">
        <v>1836</v>
      </c>
      <c r="AA102" s="75">
        <v>44652</v>
      </c>
      <c r="AB102" s="75">
        <v>45652</v>
      </c>
      <c r="AC102" s="88">
        <v>600000</v>
      </c>
      <c r="AD102" s="88">
        <v>39100000</v>
      </c>
    </row>
    <row r="103" spans="1:30" x14ac:dyDescent="0.4">
      <c r="A103" s="29">
        <v>100</v>
      </c>
      <c r="B103" s="29" t="str">
        <f t="shared" si="4"/>
        <v>100</v>
      </c>
      <c r="C103" s="29" t="str">
        <f t="shared" si="5"/>
        <v>C</v>
      </c>
      <c r="D103" s="29" t="str">
        <f t="shared" si="6"/>
        <v>B</v>
      </c>
      <c r="E103" s="29" t="str">
        <f t="shared" si="7"/>
        <v>F</v>
      </c>
      <c r="F103" s="1" t="s">
        <v>1849</v>
      </c>
      <c r="G103" s="1" t="s">
        <v>1836</v>
      </c>
      <c r="H103" s="1" t="s">
        <v>1693</v>
      </c>
      <c r="I103" s="1" t="s">
        <v>736</v>
      </c>
      <c r="J103" s="1" t="s">
        <v>31</v>
      </c>
      <c r="K103" s="1" t="s">
        <v>1707</v>
      </c>
      <c r="L103" s="1" t="s">
        <v>1737</v>
      </c>
      <c r="M103" s="1" t="s">
        <v>22</v>
      </c>
      <c r="N103" s="1" t="s">
        <v>118</v>
      </c>
      <c r="O103" s="1" t="s">
        <v>33</v>
      </c>
      <c r="P103" s="1" t="s">
        <v>24</v>
      </c>
      <c r="Q103" s="1" t="s">
        <v>390</v>
      </c>
      <c r="R103" s="1" t="s">
        <v>440</v>
      </c>
      <c r="S103" s="75">
        <v>44075</v>
      </c>
      <c r="T103" s="1">
        <v>8200</v>
      </c>
      <c r="U103" s="1"/>
      <c r="V103" s="1" t="s">
        <v>36</v>
      </c>
      <c r="W103" s="1"/>
      <c r="X103" s="1"/>
      <c r="Y103" s="1"/>
      <c r="Z103" s="1" t="s">
        <v>1836</v>
      </c>
      <c r="AA103" s="75">
        <v>44652</v>
      </c>
      <c r="AB103" s="75">
        <v>45901</v>
      </c>
      <c r="AC103" s="88">
        <v>0</v>
      </c>
      <c r="AD103" s="88">
        <v>16000000</v>
      </c>
    </row>
    <row r="104" spans="1:30" x14ac:dyDescent="0.4">
      <c r="A104" s="29">
        <v>101</v>
      </c>
      <c r="B104" s="29" t="str">
        <f t="shared" si="4"/>
        <v>101</v>
      </c>
      <c r="C104" s="29" t="str">
        <f t="shared" si="5"/>
        <v>E</v>
      </c>
      <c r="D104" s="29" t="str">
        <f t="shared" si="6"/>
        <v>B</v>
      </c>
      <c r="E104" s="29" t="str">
        <f t="shared" si="7"/>
        <v>F</v>
      </c>
      <c r="F104" s="1" t="s">
        <v>441</v>
      </c>
      <c r="G104" s="1" t="s">
        <v>1836</v>
      </c>
      <c r="H104" s="1" t="s">
        <v>1693</v>
      </c>
      <c r="I104" s="1" t="s">
        <v>1780</v>
      </c>
      <c r="J104" s="1" t="s">
        <v>31</v>
      </c>
      <c r="K104" s="1" t="s">
        <v>1707</v>
      </c>
      <c r="L104" s="1" t="s">
        <v>442</v>
      </c>
      <c r="M104" s="1" t="s">
        <v>22</v>
      </c>
      <c r="N104" s="1" t="s">
        <v>118</v>
      </c>
      <c r="O104" s="1" t="s">
        <v>33</v>
      </c>
      <c r="P104" s="1" t="s">
        <v>443</v>
      </c>
      <c r="Q104" s="1"/>
      <c r="R104" s="1" t="s">
        <v>444</v>
      </c>
      <c r="S104" s="75">
        <v>36161</v>
      </c>
      <c r="T104" s="1">
        <v>0</v>
      </c>
      <c r="U104" s="1"/>
      <c r="V104" s="1" t="s">
        <v>36</v>
      </c>
      <c r="W104" s="1"/>
      <c r="X104" s="1"/>
      <c r="Y104" s="1"/>
      <c r="Z104" s="1" t="s">
        <v>1836</v>
      </c>
      <c r="AA104" s="75">
        <v>43101</v>
      </c>
      <c r="AB104" s="75">
        <v>45597</v>
      </c>
      <c r="AC104" s="88">
        <v>0</v>
      </c>
      <c r="AD104" s="88">
        <v>2000000</v>
      </c>
    </row>
    <row r="105" spans="1:30" ht="17.399999999999999" customHeight="1" x14ac:dyDescent="0.4">
      <c r="A105" s="29">
        <v>102</v>
      </c>
      <c r="B105" s="29" t="str">
        <f t="shared" si="4"/>
        <v>102</v>
      </c>
      <c r="C105" s="29" t="str">
        <f t="shared" si="5"/>
        <v>E</v>
      </c>
      <c r="D105" s="29" t="str">
        <f t="shared" si="6"/>
        <v>B</v>
      </c>
      <c r="E105" s="29" t="str">
        <f t="shared" si="7"/>
        <v>F</v>
      </c>
      <c r="F105" s="1" t="s">
        <v>1889</v>
      </c>
      <c r="G105" s="1" t="s">
        <v>101</v>
      </c>
      <c r="H105" s="1" t="s">
        <v>101</v>
      </c>
      <c r="I105" s="1" t="s">
        <v>19</v>
      </c>
      <c r="J105" s="1" t="s">
        <v>1362</v>
      </c>
      <c r="K105" s="1" t="s">
        <v>101</v>
      </c>
      <c r="L105" s="1" t="s">
        <v>445</v>
      </c>
      <c r="M105" s="1" t="s">
        <v>22</v>
      </c>
      <c r="N105" s="1" t="s">
        <v>81</v>
      </c>
      <c r="O105" s="1" t="s">
        <v>129</v>
      </c>
      <c r="P105" s="1" t="s">
        <v>230</v>
      </c>
      <c r="Q105" s="1"/>
      <c r="R105" s="1" t="s">
        <v>446</v>
      </c>
      <c r="S105" s="75">
        <v>38353</v>
      </c>
      <c r="T105" s="1">
        <v>0</v>
      </c>
      <c r="U105" s="1"/>
      <c r="V105" s="1" t="s">
        <v>36</v>
      </c>
      <c r="W105" s="1"/>
      <c r="X105" s="1"/>
      <c r="Y105" s="1"/>
      <c r="Z105" s="1" t="s">
        <v>1836</v>
      </c>
      <c r="AA105" s="75">
        <v>43344</v>
      </c>
      <c r="AB105" s="75">
        <v>45597</v>
      </c>
      <c r="AC105" s="88">
        <v>400000</v>
      </c>
      <c r="AD105" s="88">
        <v>6200000</v>
      </c>
    </row>
    <row r="106" spans="1:30" ht="17.399999999999999" customHeight="1" x14ac:dyDescent="0.4">
      <c r="A106" s="29">
        <v>103</v>
      </c>
      <c r="B106" s="29" t="str">
        <f t="shared" si="4"/>
        <v>103</v>
      </c>
      <c r="C106" s="29" t="str">
        <f t="shared" si="5"/>
        <v>D</v>
      </c>
      <c r="D106" s="29" t="str">
        <f t="shared" si="6"/>
        <v>B</v>
      </c>
      <c r="E106" s="29" t="str">
        <f t="shared" si="7"/>
        <v>F</v>
      </c>
      <c r="F106" s="1" t="s">
        <v>1890</v>
      </c>
      <c r="G106" s="1" t="s">
        <v>447</v>
      </c>
      <c r="H106" s="1" t="s">
        <v>447</v>
      </c>
      <c r="I106" s="1" t="s">
        <v>19</v>
      </c>
      <c r="J106" s="1" t="s">
        <v>31</v>
      </c>
      <c r="K106" s="1" t="s">
        <v>448</v>
      </c>
      <c r="L106" s="1" t="s">
        <v>449</v>
      </c>
      <c r="M106" s="1" t="s">
        <v>22</v>
      </c>
      <c r="N106" s="1" t="s">
        <v>81</v>
      </c>
      <c r="O106" s="1" t="s">
        <v>62</v>
      </c>
      <c r="P106" s="1" t="s">
        <v>41</v>
      </c>
      <c r="Q106" s="1" t="s">
        <v>450</v>
      </c>
      <c r="R106" s="1" t="s">
        <v>451</v>
      </c>
      <c r="S106" s="75">
        <v>41275</v>
      </c>
      <c r="T106" s="1">
        <v>0</v>
      </c>
      <c r="U106" s="1"/>
      <c r="V106" s="1" t="s">
        <v>27</v>
      </c>
      <c r="W106" s="1" t="s">
        <v>1830</v>
      </c>
      <c r="X106" s="1" t="s">
        <v>1836</v>
      </c>
      <c r="Y106" s="1" t="s">
        <v>2018</v>
      </c>
      <c r="Z106" s="1" t="s">
        <v>1836</v>
      </c>
      <c r="AA106" s="75">
        <v>44197</v>
      </c>
      <c r="AB106" s="75">
        <v>44197</v>
      </c>
      <c r="AC106" s="88">
        <v>750000</v>
      </c>
      <c r="AD106" s="88">
        <v>8000000</v>
      </c>
    </row>
    <row r="107" spans="1:30" ht="18.600000000000001" customHeight="1" x14ac:dyDescent="0.4">
      <c r="A107" s="29">
        <v>104</v>
      </c>
      <c r="B107" s="29" t="str">
        <f t="shared" si="4"/>
        <v>104</v>
      </c>
      <c r="C107" s="29" t="str">
        <f t="shared" si="5"/>
        <v>D</v>
      </c>
      <c r="D107" s="29" t="str">
        <f t="shared" si="6"/>
        <v>O</v>
      </c>
      <c r="E107" s="29" t="str">
        <f t="shared" si="7"/>
        <v>F</v>
      </c>
      <c r="F107" s="1" t="s">
        <v>452</v>
      </c>
      <c r="G107" s="1" t="s">
        <v>76</v>
      </c>
      <c r="H107" s="1" t="s">
        <v>76</v>
      </c>
      <c r="I107" s="1" t="s">
        <v>19</v>
      </c>
      <c r="J107" s="1" t="s">
        <v>31</v>
      </c>
      <c r="K107" s="1" t="s">
        <v>76</v>
      </c>
      <c r="L107" s="1" t="s">
        <v>453</v>
      </c>
      <c r="M107" s="1" t="s">
        <v>22</v>
      </c>
      <c r="N107" s="1" t="s">
        <v>118</v>
      </c>
      <c r="O107" s="1" t="s">
        <v>317</v>
      </c>
      <c r="P107" s="1" t="s">
        <v>41</v>
      </c>
      <c r="Q107" s="1" t="s">
        <v>454</v>
      </c>
      <c r="R107" s="1" t="s">
        <v>455</v>
      </c>
      <c r="S107" s="75">
        <v>38777</v>
      </c>
      <c r="T107" s="1">
        <v>0</v>
      </c>
      <c r="U107" s="1" t="s">
        <v>456</v>
      </c>
      <c r="V107" s="1" t="s">
        <v>27</v>
      </c>
      <c r="W107" s="1" t="s">
        <v>1830</v>
      </c>
      <c r="X107" s="1" t="s">
        <v>1836</v>
      </c>
      <c r="Y107" s="1" t="s">
        <v>1834</v>
      </c>
      <c r="Z107" s="1" t="s">
        <v>1836</v>
      </c>
      <c r="AA107" s="75">
        <v>42552</v>
      </c>
      <c r="AB107" s="75">
        <v>45108</v>
      </c>
      <c r="AC107" s="88">
        <v>650000</v>
      </c>
      <c r="AD107" s="88">
        <v>6000000</v>
      </c>
    </row>
    <row r="108" spans="1:30" ht="21" customHeight="1" x14ac:dyDescent="0.4">
      <c r="A108" s="29">
        <v>105</v>
      </c>
      <c r="B108" s="29" t="str">
        <f t="shared" si="4"/>
        <v>105</v>
      </c>
      <c r="C108" s="29" t="str">
        <f t="shared" si="5"/>
        <v>D</v>
      </c>
      <c r="D108" s="29" t="str">
        <f t="shared" si="6"/>
        <v>O</v>
      </c>
      <c r="E108" s="29" t="str">
        <f t="shared" si="7"/>
        <v>F</v>
      </c>
      <c r="F108" s="1" t="s">
        <v>457</v>
      </c>
      <c r="G108" s="1" t="s">
        <v>76</v>
      </c>
      <c r="H108" s="1" t="s">
        <v>76</v>
      </c>
      <c r="I108" s="1" t="s">
        <v>19</v>
      </c>
      <c r="J108" s="1" t="s">
        <v>31</v>
      </c>
      <c r="K108" s="1" t="s">
        <v>76</v>
      </c>
      <c r="L108" s="1" t="s">
        <v>458</v>
      </c>
      <c r="M108" s="1" t="s">
        <v>22</v>
      </c>
      <c r="N108" s="1" t="s">
        <v>118</v>
      </c>
      <c r="O108" s="1" t="s">
        <v>333</v>
      </c>
      <c r="P108" s="1" t="s">
        <v>41</v>
      </c>
      <c r="Q108" s="1" t="s">
        <v>459</v>
      </c>
      <c r="R108" s="1" t="s">
        <v>460</v>
      </c>
      <c r="S108" s="75">
        <v>40817</v>
      </c>
      <c r="T108" s="1">
        <v>0</v>
      </c>
      <c r="U108" s="1" t="s">
        <v>461</v>
      </c>
      <c r="V108" s="1" t="s">
        <v>36</v>
      </c>
      <c r="W108" s="1"/>
      <c r="X108" s="1"/>
      <c r="Y108" s="1"/>
      <c r="Z108" s="1" t="s">
        <v>1836</v>
      </c>
      <c r="AA108" s="75">
        <v>42491</v>
      </c>
      <c r="AB108" s="75">
        <v>45108</v>
      </c>
      <c r="AC108" s="88">
        <v>650000</v>
      </c>
      <c r="AD108" s="88">
        <v>16500000</v>
      </c>
    </row>
    <row r="109" spans="1:30" ht="16.95" customHeight="1" x14ac:dyDescent="0.4">
      <c r="A109" s="29">
        <v>106</v>
      </c>
      <c r="B109" s="29" t="str">
        <f t="shared" si="4"/>
        <v>106</v>
      </c>
      <c r="C109" s="29" t="str">
        <f t="shared" si="5"/>
        <v>D</v>
      </c>
      <c r="D109" s="29" t="str">
        <f t="shared" si="6"/>
        <v>O</v>
      </c>
      <c r="E109" s="29" t="str">
        <f t="shared" si="7"/>
        <v>F</v>
      </c>
      <c r="F109" s="1" t="s">
        <v>462</v>
      </c>
      <c r="G109" s="1" t="s">
        <v>2031</v>
      </c>
      <c r="H109" s="1" t="s">
        <v>1836</v>
      </c>
      <c r="I109" s="1" t="s">
        <v>19</v>
      </c>
      <c r="J109" s="1" t="s">
        <v>1362</v>
      </c>
      <c r="K109" s="1" t="s">
        <v>2031</v>
      </c>
      <c r="L109" s="1" t="s">
        <v>2056</v>
      </c>
      <c r="M109" s="1" t="s">
        <v>22</v>
      </c>
      <c r="N109" s="1" t="s">
        <v>118</v>
      </c>
      <c r="O109" s="1" t="s">
        <v>33</v>
      </c>
      <c r="P109" s="1" t="s">
        <v>41</v>
      </c>
      <c r="Q109" s="1" t="s">
        <v>464</v>
      </c>
      <c r="R109" s="1" t="s">
        <v>465</v>
      </c>
      <c r="S109" s="75">
        <v>37257</v>
      </c>
      <c r="T109" s="1">
        <v>0</v>
      </c>
      <c r="U109" s="1" t="s">
        <v>466</v>
      </c>
      <c r="V109" s="1" t="s">
        <v>36</v>
      </c>
      <c r="W109" s="1"/>
      <c r="X109" s="1"/>
      <c r="Y109" s="1"/>
      <c r="Z109" s="1" t="s">
        <v>1836</v>
      </c>
      <c r="AA109" s="75">
        <v>43831</v>
      </c>
      <c r="AB109" s="75">
        <v>46087</v>
      </c>
      <c r="AC109" s="88">
        <v>700000</v>
      </c>
      <c r="AD109" s="88">
        <v>5000000</v>
      </c>
    </row>
    <row r="110" spans="1:30" ht="17.399999999999999" customHeight="1" x14ac:dyDescent="0.4">
      <c r="A110" s="29">
        <v>107</v>
      </c>
      <c r="B110" s="29" t="str">
        <f t="shared" si="4"/>
        <v>107</v>
      </c>
      <c r="C110" s="29" t="str">
        <f t="shared" si="5"/>
        <v>D</v>
      </c>
      <c r="D110" s="29" t="str">
        <f t="shared" si="6"/>
        <v>O</v>
      </c>
      <c r="E110" s="29" t="str">
        <f t="shared" si="7"/>
        <v>F</v>
      </c>
      <c r="F110" s="1" t="s">
        <v>467</v>
      </c>
      <c r="G110" s="1" t="s">
        <v>429</v>
      </c>
      <c r="H110" s="1" t="s">
        <v>1695</v>
      </c>
      <c r="I110" s="1" t="s">
        <v>19</v>
      </c>
      <c r="J110" s="1" t="s">
        <v>428</v>
      </c>
      <c r="K110" s="1" t="s">
        <v>429</v>
      </c>
      <c r="L110" s="1" t="s">
        <v>468</v>
      </c>
      <c r="M110" s="1" t="s">
        <v>22</v>
      </c>
      <c r="N110" s="1" t="s">
        <v>118</v>
      </c>
      <c r="O110" s="1" t="s">
        <v>23</v>
      </c>
      <c r="P110" s="1" t="s">
        <v>41</v>
      </c>
      <c r="Q110" s="1" t="s">
        <v>42</v>
      </c>
      <c r="R110" s="1" t="s">
        <v>469</v>
      </c>
      <c r="S110" s="75">
        <v>43070</v>
      </c>
      <c r="T110" s="1">
        <v>0</v>
      </c>
      <c r="U110" s="1" t="s">
        <v>470</v>
      </c>
      <c r="V110" s="1" t="s">
        <v>27</v>
      </c>
      <c r="W110" s="1" t="s">
        <v>1830</v>
      </c>
      <c r="X110" s="1" t="s">
        <v>1836</v>
      </c>
      <c r="Y110" s="1" t="s">
        <v>1846</v>
      </c>
      <c r="Z110" s="1" t="s">
        <v>1836</v>
      </c>
      <c r="AA110" s="75">
        <v>44835</v>
      </c>
      <c r="AB110" s="75">
        <v>44866</v>
      </c>
      <c r="AC110" s="88">
        <v>900000</v>
      </c>
      <c r="AD110" s="88">
        <v>2000000</v>
      </c>
    </row>
    <row r="111" spans="1:30" ht="17.399999999999999" customHeight="1" x14ac:dyDescent="0.4">
      <c r="A111" s="29">
        <v>108</v>
      </c>
      <c r="B111" s="29" t="str">
        <f t="shared" si="4"/>
        <v>108</v>
      </c>
      <c r="C111" s="29" t="str">
        <f t="shared" si="5"/>
        <v>C</v>
      </c>
      <c r="D111" s="29" t="str">
        <f t="shared" si="6"/>
        <v>O</v>
      </c>
      <c r="E111" s="29" t="str">
        <f t="shared" si="7"/>
        <v>F</v>
      </c>
      <c r="F111" s="1" t="s">
        <v>471</v>
      </c>
      <c r="G111" s="1" t="s">
        <v>76</v>
      </c>
      <c r="H111" s="1" t="s">
        <v>76</v>
      </c>
      <c r="I111" s="1" t="s">
        <v>19</v>
      </c>
      <c r="J111" s="1" t="s">
        <v>31</v>
      </c>
      <c r="K111" s="1" t="s">
        <v>76</v>
      </c>
      <c r="L111" s="1" t="s">
        <v>472</v>
      </c>
      <c r="M111" s="1" t="s">
        <v>22</v>
      </c>
      <c r="N111" s="1" t="s">
        <v>118</v>
      </c>
      <c r="O111" s="1" t="s">
        <v>33</v>
      </c>
      <c r="P111" s="1" t="s">
        <v>24</v>
      </c>
      <c r="Q111" s="1" t="s">
        <v>473</v>
      </c>
      <c r="R111" s="1" t="s">
        <v>474</v>
      </c>
      <c r="S111" s="75">
        <v>39448</v>
      </c>
      <c r="T111" s="1">
        <v>0</v>
      </c>
      <c r="U111" s="1" t="s">
        <v>475</v>
      </c>
      <c r="V111" s="1" t="s">
        <v>27</v>
      </c>
      <c r="W111" s="1" t="s">
        <v>1830</v>
      </c>
      <c r="X111" s="1" t="s">
        <v>1836</v>
      </c>
      <c r="Y111" s="1" t="s">
        <v>1836</v>
      </c>
      <c r="Z111" s="1" t="s">
        <v>1836</v>
      </c>
      <c r="AA111" s="75">
        <v>43344</v>
      </c>
      <c r="AB111" s="75">
        <v>45108</v>
      </c>
      <c r="AC111" s="88">
        <v>600000</v>
      </c>
      <c r="AD111" s="88">
        <v>6000000</v>
      </c>
    </row>
    <row r="112" spans="1:30" x14ac:dyDescent="0.4">
      <c r="A112" s="29">
        <v>109</v>
      </c>
      <c r="B112" s="29" t="str">
        <f t="shared" si="4"/>
        <v>110</v>
      </c>
      <c r="C112" s="29" t="str">
        <f t="shared" si="5"/>
        <v>E</v>
      </c>
      <c r="D112" s="29" t="str">
        <f t="shared" si="6"/>
        <v>B</v>
      </c>
      <c r="E112" s="29" t="str">
        <f t="shared" si="7"/>
        <v>O</v>
      </c>
      <c r="F112" s="1" t="s">
        <v>1891</v>
      </c>
      <c r="G112" s="1" t="s">
        <v>2027</v>
      </c>
      <c r="H112" s="1" t="s">
        <v>476</v>
      </c>
      <c r="I112" s="1" t="s">
        <v>276</v>
      </c>
      <c r="J112" s="1" t="s">
        <v>31</v>
      </c>
      <c r="K112" s="1" t="s">
        <v>276</v>
      </c>
      <c r="L112" s="1" t="s">
        <v>276</v>
      </c>
      <c r="M112" s="1" t="s">
        <v>22</v>
      </c>
      <c r="N112" s="1" t="s">
        <v>1883</v>
      </c>
      <c r="O112" s="1" t="s">
        <v>300</v>
      </c>
      <c r="P112" s="1" t="s">
        <v>301</v>
      </c>
      <c r="Q112" s="1" t="s">
        <v>302</v>
      </c>
      <c r="R112" s="1"/>
      <c r="S112" s="75">
        <v>44562</v>
      </c>
      <c r="T112" s="1">
        <v>0</v>
      </c>
      <c r="U112" s="1"/>
      <c r="V112" s="1" t="s">
        <v>36</v>
      </c>
      <c r="W112" s="1"/>
      <c r="X112" s="1"/>
      <c r="Y112" s="1"/>
      <c r="Z112" s="1" t="s">
        <v>45</v>
      </c>
      <c r="AA112" s="75">
        <v>44562</v>
      </c>
      <c r="AB112" s="75">
        <v>45292</v>
      </c>
      <c r="AC112" s="88">
        <v>1050000</v>
      </c>
      <c r="AD112" s="88">
        <v>17600000</v>
      </c>
    </row>
    <row r="113" spans="1:30" x14ac:dyDescent="0.4">
      <c r="A113" s="29">
        <v>110</v>
      </c>
      <c r="B113" s="29" t="str">
        <f t="shared" si="4"/>
        <v>111</v>
      </c>
      <c r="C113" s="29" t="str">
        <f t="shared" si="5"/>
        <v>E</v>
      </c>
      <c r="D113" s="29" t="str">
        <f t="shared" si="6"/>
        <v>B</v>
      </c>
      <c r="E113" s="29" t="str">
        <f t="shared" si="7"/>
        <v>O</v>
      </c>
      <c r="F113" s="1" t="s">
        <v>1892</v>
      </c>
      <c r="G113" s="1" t="s">
        <v>2027</v>
      </c>
      <c r="H113" s="1" t="s">
        <v>476</v>
      </c>
      <c r="I113" s="1" t="s">
        <v>276</v>
      </c>
      <c r="J113" s="1" t="s">
        <v>31</v>
      </c>
      <c r="K113" s="1" t="s">
        <v>276</v>
      </c>
      <c r="L113" s="1" t="s">
        <v>276</v>
      </c>
      <c r="M113" s="1" t="s">
        <v>22</v>
      </c>
      <c r="N113" s="1" t="s">
        <v>1883</v>
      </c>
      <c r="O113" s="1" t="s">
        <v>300</v>
      </c>
      <c r="P113" s="1" t="s">
        <v>301</v>
      </c>
      <c r="Q113" s="1" t="s">
        <v>302</v>
      </c>
      <c r="R113" s="1"/>
      <c r="S113" s="75">
        <v>43831</v>
      </c>
      <c r="T113" s="1">
        <v>0</v>
      </c>
      <c r="U113" s="1"/>
      <c r="V113" s="1" t="s">
        <v>36</v>
      </c>
      <c r="W113" s="1"/>
      <c r="X113" s="1"/>
      <c r="Y113" s="1"/>
      <c r="Z113" s="1" t="s">
        <v>45</v>
      </c>
      <c r="AA113" s="75">
        <v>43831</v>
      </c>
      <c r="AB113" s="75">
        <v>44927</v>
      </c>
      <c r="AC113" s="88">
        <v>1000000</v>
      </c>
      <c r="AD113" s="88">
        <v>16500000</v>
      </c>
    </row>
    <row r="114" spans="1:30" ht="17.399999999999999" customHeight="1" x14ac:dyDescent="0.4">
      <c r="A114" s="29">
        <v>111</v>
      </c>
      <c r="B114" s="29" t="str">
        <f t="shared" si="4"/>
        <v>112</v>
      </c>
      <c r="C114" s="29" t="str">
        <f t="shared" si="5"/>
        <v>D</v>
      </c>
      <c r="D114" s="29" t="str">
        <f t="shared" si="6"/>
        <v>O</v>
      </c>
      <c r="E114" s="29" t="str">
        <f t="shared" si="7"/>
        <v>F</v>
      </c>
      <c r="F114" s="1" t="s">
        <v>477</v>
      </c>
      <c r="G114" s="1" t="s">
        <v>76</v>
      </c>
      <c r="H114" s="1" t="s">
        <v>76</v>
      </c>
      <c r="I114" s="1" t="s">
        <v>19</v>
      </c>
      <c r="J114" s="1" t="s">
        <v>31</v>
      </c>
      <c r="K114" s="1" t="s">
        <v>76</v>
      </c>
      <c r="L114" s="1" t="s">
        <v>478</v>
      </c>
      <c r="M114" s="1" t="s">
        <v>22</v>
      </c>
      <c r="N114" s="1" t="s">
        <v>118</v>
      </c>
      <c r="O114" s="1" t="s">
        <v>339</v>
      </c>
      <c r="P114" s="1" t="s">
        <v>41</v>
      </c>
      <c r="Q114" s="1" t="s">
        <v>479</v>
      </c>
      <c r="R114" s="1" t="s">
        <v>480</v>
      </c>
      <c r="S114" s="75">
        <v>40817</v>
      </c>
      <c r="T114" s="1">
        <v>0</v>
      </c>
      <c r="U114" s="1" t="s">
        <v>481</v>
      </c>
      <c r="V114" s="1" t="s">
        <v>27</v>
      </c>
      <c r="W114" s="1" t="s">
        <v>1830</v>
      </c>
      <c r="X114" s="1" t="s">
        <v>1836</v>
      </c>
      <c r="Y114" s="1" t="s">
        <v>1836</v>
      </c>
      <c r="Z114" s="1" t="s">
        <v>1836</v>
      </c>
      <c r="AA114" s="75">
        <v>40848</v>
      </c>
      <c r="AB114" s="75">
        <v>45108</v>
      </c>
      <c r="AC114" s="88">
        <v>750000</v>
      </c>
      <c r="AD114" s="88">
        <v>39490000</v>
      </c>
    </row>
    <row r="115" spans="1:30" ht="17.399999999999999" customHeight="1" x14ac:dyDescent="0.4">
      <c r="A115" s="29">
        <v>112</v>
      </c>
      <c r="B115" s="29" t="str">
        <f t="shared" si="4"/>
        <v>113</v>
      </c>
      <c r="C115" s="29" t="str">
        <f t="shared" si="5"/>
        <v>D</v>
      </c>
      <c r="D115" s="29" t="str">
        <f t="shared" si="6"/>
        <v>O</v>
      </c>
      <c r="E115" s="29" t="str">
        <f t="shared" si="7"/>
        <v>F</v>
      </c>
      <c r="F115" s="1" t="s">
        <v>482</v>
      </c>
      <c r="G115" s="1" t="s">
        <v>1893</v>
      </c>
      <c r="H115" s="1" t="s">
        <v>1693</v>
      </c>
      <c r="I115" s="1" t="s">
        <v>276</v>
      </c>
      <c r="J115" s="1" t="s">
        <v>1362</v>
      </c>
      <c r="K115" s="1" t="s">
        <v>276</v>
      </c>
      <c r="L115" s="1" t="s">
        <v>276</v>
      </c>
      <c r="M115" s="1" t="s">
        <v>22</v>
      </c>
      <c r="N115" s="1" t="s">
        <v>118</v>
      </c>
      <c r="O115" s="1" t="s">
        <v>23</v>
      </c>
      <c r="P115" s="1" t="s">
        <v>41</v>
      </c>
      <c r="Q115" s="1" t="s">
        <v>86</v>
      </c>
      <c r="R115" s="1" t="s">
        <v>483</v>
      </c>
      <c r="S115" s="75">
        <v>40817</v>
      </c>
      <c r="T115" s="1">
        <v>0</v>
      </c>
      <c r="U115" s="1" t="s">
        <v>484</v>
      </c>
      <c r="V115" s="1" t="s">
        <v>36</v>
      </c>
      <c r="W115" s="1"/>
      <c r="X115" s="1"/>
      <c r="Y115" s="1"/>
      <c r="Z115" s="1" t="s">
        <v>45</v>
      </c>
      <c r="AA115" s="75">
        <v>40848</v>
      </c>
      <c r="AB115" s="75">
        <v>45962</v>
      </c>
      <c r="AC115" s="88">
        <v>0</v>
      </c>
      <c r="AD115" s="88">
        <v>28280000</v>
      </c>
    </row>
    <row r="116" spans="1:30" ht="17.399999999999999" customHeight="1" x14ac:dyDescent="0.4">
      <c r="A116" s="29">
        <v>113</v>
      </c>
      <c r="B116" s="29" t="str">
        <f t="shared" si="4"/>
        <v>114</v>
      </c>
      <c r="C116" s="29" t="str">
        <f t="shared" si="5"/>
        <v>C</v>
      </c>
      <c r="D116" s="29" t="str">
        <f t="shared" si="6"/>
        <v>O</v>
      </c>
      <c r="E116" s="29" t="str">
        <f t="shared" si="7"/>
        <v>F</v>
      </c>
      <c r="F116" s="1" t="s">
        <v>485</v>
      </c>
      <c r="G116" s="1" t="s">
        <v>486</v>
      </c>
      <c r="H116" s="1" t="s">
        <v>45</v>
      </c>
      <c r="I116" s="1" t="s">
        <v>19</v>
      </c>
      <c r="J116" s="1" t="s">
        <v>39</v>
      </c>
      <c r="K116" s="1" t="s">
        <v>488</v>
      </c>
      <c r="L116" s="1" t="s">
        <v>489</v>
      </c>
      <c r="M116" s="1" t="s">
        <v>22</v>
      </c>
      <c r="N116" s="1" t="s">
        <v>118</v>
      </c>
      <c r="O116" s="1" t="s">
        <v>317</v>
      </c>
      <c r="P116" s="1" t="s">
        <v>24</v>
      </c>
      <c r="Q116" s="1" t="s">
        <v>490</v>
      </c>
      <c r="R116" s="1" t="s">
        <v>491</v>
      </c>
      <c r="S116" s="75">
        <v>42552</v>
      </c>
      <c r="T116" s="1">
        <v>0</v>
      </c>
      <c r="U116" s="1" t="s">
        <v>492</v>
      </c>
      <c r="V116" s="1" t="s">
        <v>27</v>
      </c>
      <c r="W116" s="1" t="s">
        <v>1830</v>
      </c>
      <c r="X116" s="1" t="s">
        <v>45</v>
      </c>
      <c r="Y116" s="1" t="s">
        <v>1850</v>
      </c>
      <c r="Z116" s="1" t="s">
        <v>45</v>
      </c>
      <c r="AA116" s="75">
        <v>42552</v>
      </c>
      <c r="AB116" s="75">
        <v>44835</v>
      </c>
      <c r="AC116" s="88">
        <v>768000</v>
      </c>
      <c r="AD116" s="88">
        <v>39100000</v>
      </c>
    </row>
    <row r="117" spans="1:30" x14ac:dyDescent="0.4">
      <c r="A117" s="29">
        <v>114</v>
      </c>
      <c r="B117" s="29" t="str">
        <f t="shared" si="4"/>
        <v>115</v>
      </c>
      <c r="C117" s="29" t="str">
        <f t="shared" si="5"/>
        <v>C</v>
      </c>
      <c r="D117" s="29" t="str">
        <f t="shared" si="6"/>
        <v>B</v>
      </c>
      <c r="E117" s="29" t="str">
        <f t="shared" si="7"/>
        <v>F</v>
      </c>
      <c r="F117" s="1" t="s">
        <v>493</v>
      </c>
      <c r="G117" s="1" t="s">
        <v>447</v>
      </c>
      <c r="H117" s="1" t="s">
        <v>447</v>
      </c>
      <c r="I117" s="1" t="s">
        <v>19</v>
      </c>
      <c r="J117" s="1" t="s">
        <v>31</v>
      </c>
      <c r="K117" s="1" t="s">
        <v>60</v>
      </c>
      <c r="L117" s="1" t="s">
        <v>494</v>
      </c>
      <c r="M117" s="1" t="s">
        <v>22</v>
      </c>
      <c r="N117" s="1" t="s">
        <v>118</v>
      </c>
      <c r="O117" s="1" t="s">
        <v>55</v>
      </c>
      <c r="P117" s="1" t="s">
        <v>24</v>
      </c>
      <c r="Q117" s="1" t="s">
        <v>495</v>
      </c>
      <c r="R117" s="1" t="s">
        <v>496</v>
      </c>
      <c r="S117" s="75">
        <v>40817</v>
      </c>
      <c r="T117" s="1">
        <v>0</v>
      </c>
      <c r="U117" s="1"/>
      <c r="V117" s="1" t="s">
        <v>27</v>
      </c>
      <c r="W117" s="1" t="s">
        <v>1851</v>
      </c>
      <c r="X117" s="1" t="s">
        <v>45</v>
      </c>
      <c r="Y117" s="1" t="s">
        <v>1837</v>
      </c>
      <c r="Z117" s="1" t="s">
        <v>45</v>
      </c>
      <c r="AA117" s="75">
        <v>40817</v>
      </c>
      <c r="AB117" s="75">
        <v>45597</v>
      </c>
      <c r="AC117" s="88">
        <v>700000</v>
      </c>
      <c r="AD117" s="88">
        <v>24600000</v>
      </c>
    </row>
    <row r="118" spans="1:30" x14ac:dyDescent="0.4">
      <c r="A118" s="29">
        <v>115</v>
      </c>
      <c r="B118" s="29" t="str">
        <f t="shared" si="4"/>
        <v>116</v>
      </c>
      <c r="C118" s="29" t="str">
        <f t="shared" si="5"/>
        <v>C</v>
      </c>
      <c r="D118" s="29" t="str">
        <f t="shared" si="6"/>
        <v>B</v>
      </c>
      <c r="E118" s="29" t="str">
        <f t="shared" si="7"/>
        <v>F</v>
      </c>
      <c r="F118" s="1" t="s">
        <v>497</v>
      </c>
      <c r="G118" s="1" t="s">
        <v>486</v>
      </c>
      <c r="H118" s="1" t="s">
        <v>45</v>
      </c>
      <c r="I118" s="1" t="s">
        <v>19</v>
      </c>
      <c r="J118" s="1" t="s">
        <v>39</v>
      </c>
      <c r="K118" s="1" t="s">
        <v>498</v>
      </c>
      <c r="L118" s="1" t="s">
        <v>499</v>
      </c>
      <c r="M118" s="1" t="s">
        <v>22</v>
      </c>
      <c r="N118" s="1" t="s">
        <v>118</v>
      </c>
      <c r="O118" s="1" t="s">
        <v>55</v>
      </c>
      <c r="P118" s="1" t="s">
        <v>24</v>
      </c>
      <c r="Q118" s="1" t="s">
        <v>99</v>
      </c>
      <c r="R118" s="1" t="s">
        <v>500</v>
      </c>
      <c r="S118" s="75">
        <v>43647</v>
      </c>
      <c r="T118" s="1">
        <v>0</v>
      </c>
      <c r="U118" s="1"/>
      <c r="V118" s="1" t="s">
        <v>27</v>
      </c>
      <c r="W118" s="1" t="s">
        <v>1782</v>
      </c>
      <c r="X118" s="1" t="s">
        <v>45</v>
      </c>
      <c r="Y118" s="1" t="s">
        <v>1852</v>
      </c>
      <c r="Z118" s="1" t="s">
        <v>45</v>
      </c>
      <c r="AA118" s="75">
        <v>43647</v>
      </c>
      <c r="AB118" s="75">
        <v>43647</v>
      </c>
      <c r="AC118" s="88">
        <v>650000</v>
      </c>
      <c r="AD118" s="88">
        <v>29815000</v>
      </c>
    </row>
    <row r="119" spans="1:30" x14ac:dyDescent="0.4">
      <c r="A119" s="29">
        <v>116</v>
      </c>
      <c r="B119" s="29" t="str">
        <f t="shared" si="4"/>
        <v>117</v>
      </c>
      <c r="C119" s="29" t="str">
        <f t="shared" si="5"/>
        <v>C</v>
      </c>
      <c r="D119" s="29" t="str">
        <f t="shared" si="6"/>
        <v>B</v>
      </c>
      <c r="E119" s="29" t="str">
        <f t="shared" si="7"/>
        <v>F</v>
      </c>
      <c r="F119" s="1" t="s">
        <v>501</v>
      </c>
      <c r="G119" s="1" t="s">
        <v>1836</v>
      </c>
      <c r="H119" s="1" t="s">
        <v>1693</v>
      </c>
      <c r="I119" s="1" t="s">
        <v>736</v>
      </c>
      <c r="J119" s="1" t="s">
        <v>31</v>
      </c>
      <c r="K119" s="1" t="s">
        <v>1707</v>
      </c>
      <c r="L119" s="1" t="s">
        <v>2019</v>
      </c>
      <c r="M119" s="1" t="s">
        <v>22</v>
      </c>
      <c r="N119" s="1" t="s">
        <v>118</v>
      </c>
      <c r="O119" s="1" t="s">
        <v>55</v>
      </c>
      <c r="P119" s="1" t="s">
        <v>24</v>
      </c>
      <c r="Q119" s="1" t="s">
        <v>495</v>
      </c>
      <c r="R119" s="1" t="s">
        <v>502</v>
      </c>
      <c r="S119" s="75">
        <v>40817</v>
      </c>
      <c r="T119" s="1">
        <v>0</v>
      </c>
      <c r="U119" s="1"/>
      <c r="V119" s="1" t="s">
        <v>27</v>
      </c>
      <c r="W119" s="1" t="s">
        <v>1851</v>
      </c>
      <c r="X119" s="1" t="s">
        <v>45</v>
      </c>
      <c r="Y119" s="1" t="s">
        <v>1837</v>
      </c>
      <c r="Z119" s="1" t="s">
        <v>45</v>
      </c>
      <c r="AA119" s="75">
        <v>40817</v>
      </c>
      <c r="AB119" s="75">
        <v>46007</v>
      </c>
      <c r="AC119" s="88">
        <v>487000</v>
      </c>
      <c r="AD119" s="88">
        <v>24600000</v>
      </c>
    </row>
    <row r="120" spans="1:30" x14ac:dyDescent="0.4">
      <c r="A120" s="29">
        <v>117</v>
      </c>
      <c r="B120" s="29" t="str">
        <f t="shared" si="4"/>
        <v>118</v>
      </c>
      <c r="C120" s="29" t="str">
        <f t="shared" si="5"/>
        <v>D</v>
      </c>
      <c r="D120" s="29" t="str">
        <f t="shared" si="6"/>
        <v>B</v>
      </c>
      <c r="E120" s="29" t="str">
        <f t="shared" si="7"/>
        <v>F</v>
      </c>
      <c r="F120" s="1" t="s">
        <v>503</v>
      </c>
      <c r="G120" s="1" t="s">
        <v>486</v>
      </c>
      <c r="H120" s="1" t="s">
        <v>45</v>
      </c>
      <c r="I120" s="1" t="s">
        <v>19</v>
      </c>
      <c r="J120" s="1" t="s">
        <v>39</v>
      </c>
      <c r="K120" s="1" t="s">
        <v>504</v>
      </c>
      <c r="L120" s="1" t="s">
        <v>505</v>
      </c>
      <c r="M120" s="1" t="s">
        <v>220</v>
      </c>
      <c r="N120" s="1" t="s">
        <v>118</v>
      </c>
      <c r="O120" s="1" t="s">
        <v>62</v>
      </c>
      <c r="P120" s="1" t="s">
        <v>41</v>
      </c>
      <c r="Q120" s="1" t="s">
        <v>506</v>
      </c>
      <c r="R120" s="1" t="s">
        <v>507</v>
      </c>
      <c r="S120" s="75">
        <v>40817</v>
      </c>
      <c r="T120" s="1">
        <v>0</v>
      </c>
      <c r="U120" s="1"/>
      <c r="V120" s="1" t="s">
        <v>27</v>
      </c>
      <c r="W120" s="1" t="s">
        <v>1851</v>
      </c>
      <c r="X120" s="1" t="s">
        <v>45</v>
      </c>
      <c r="Y120" s="1" t="s">
        <v>1837</v>
      </c>
      <c r="Z120" s="1" t="s">
        <v>45</v>
      </c>
      <c r="AA120" s="75">
        <v>40817</v>
      </c>
      <c r="AB120" s="75">
        <v>45352</v>
      </c>
      <c r="AC120" s="88">
        <v>700000</v>
      </c>
      <c r="AD120" s="88">
        <v>25160000</v>
      </c>
    </row>
    <row r="121" spans="1:30" x14ac:dyDescent="0.4">
      <c r="A121" s="29">
        <v>118</v>
      </c>
      <c r="B121" s="29" t="str">
        <f t="shared" si="4"/>
        <v>119</v>
      </c>
      <c r="C121" s="29" t="str">
        <f t="shared" si="5"/>
        <v>D</v>
      </c>
      <c r="D121" s="29" t="str">
        <f t="shared" si="6"/>
        <v>B</v>
      </c>
      <c r="E121" s="29" t="str">
        <f t="shared" si="7"/>
        <v>F</v>
      </c>
      <c r="F121" s="1" t="s">
        <v>508</v>
      </c>
      <c r="G121" s="1" t="s">
        <v>486</v>
      </c>
      <c r="H121" s="1" t="s">
        <v>45</v>
      </c>
      <c r="I121" s="1" t="s">
        <v>19</v>
      </c>
      <c r="J121" s="1" t="s">
        <v>39</v>
      </c>
      <c r="K121" s="1" t="s">
        <v>509</v>
      </c>
      <c r="L121" s="1" t="s">
        <v>510</v>
      </c>
      <c r="M121" s="1" t="s">
        <v>22</v>
      </c>
      <c r="N121" s="1" t="s">
        <v>118</v>
      </c>
      <c r="O121" s="1" t="s">
        <v>62</v>
      </c>
      <c r="P121" s="1" t="s">
        <v>41</v>
      </c>
      <c r="Q121" s="1" t="s">
        <v>506</v>
      </c>
      <c r="R121" s="1" t="s">
        <v>511</v>
      </c>
      <c r="S121" s="75">
        <v>40817</v>
      </c>
      <c r="T121" s="1">
        <v>0</v>
      </c>
      <c r="U121" s="1"/>
      <c r="V121" s="1" t="s">
        <v>27</v>
      </c>
      <c r="W121" s="1" t="s">
        <v>1851</v>
      </c>
      <c r="X121" s="1" t="s">
        <v>45</v>
      </c>
      <c r="Y121" s="1" t="s">
        <v>1837</v>
      </c>
      <c r="Z121" s="1" t="s">
        <v>45</v>
      </c>
      <c r="AA121" s="75">
        <v>40817</v>
      </c>
      <c r="AB121" s="75">
        <v>40848</v>
      </c>
      <c r="AC121" s="88">
        <v>487000</v>
      </c>
      <c r="AD121" s="88">
        <v>25160000</v>
      </c>
    </row>
    <row r="122" spans="1:30" x14ac:dyDescent="0.4">
      <c r="A122" s="29">
        <v>119</v>
      </c>
      <c r="B122" s="29" t="str">
        <f t="shared" si="4"/>
        <v>120</v>
      </c>
      <c r="C122" s="29" t="str">
        <f t="shared" si="5"/>
        <v>D</v>
      </c>
      <c r="D122" s="29" t="str">
        <f t="shared" si="6"/>
        <v>B</v>
      </c>
      <c r="E122" s="29" t="str">
        <f t="shared" si="7"/>
        <v>F</v>
      </c>
      <c r="F122" s="1" t="s">
        <v>512</v>
      </c>
      <c r="G122" s="1" t="s">
        <v>1836</v>
      </c>
      <c r="H122" s="1" t="s">
        <v>1693</v>
      </c>
      <c r="I122" s="1" t="s">
        <v>1980</v>
      </c>
      <c r="J122" s="1" t="s">
        <v>31</v>
      </c>
      <c r="K122" s="1" t="s">
        <v>1707</v>
      </c>
      <c r="L122" s="1" t="s">
        <v>513</v>
      </c>
      <c r="M122" s="1" t="s">
        <v>22</v>
      </c>
      <c r="N122" s="1" t="s">
        <v>118</v>
      </c>
      <c r="O122" s="1" t="s">
        <v>62</v>
      </c>
      <c r="P122" s="1" t="s">
        <v>41</v>
      </c>
      <c r="Q122" s="1" t="s">
        <v>506</v>
      </c>
      <c r="R122" s="1" t="s">
        <v>514</v>
      </c>
      <c r="S122" s="75">
        <v>40817</v>
      </c>
      <c r="T122" s="1">
        <v>0</v>
      </c>
      <c r="U122" s="1"/>
      <c r="V122" s="1" t="s">
        <v>27</v>
      </c>
      <c r="W122" s="1" t="s">
        <v>1851</v>
      </c>
      <c r="X122" s="1" t="s">
        <v>45</v>
      </c>
      <c r="Y122" s="1" t="s">
        <v>1837</v>
      </c>
      <c r="Z122" s="1" t="s">
        <v>45</v>
      </c>
      <c r="AA122" s="75">
        <v>40817</v>
      </c>
      <c r="AB122" s="75">
        <v>45444</v>
      </c>
      <c r="AC122" s="88">
        <v>0</v>
      </c>
      <c r="AD122" s="88">
        <v>23650000</v>
      </c>
    </row>
    <row r="123" spans="1:30" x14ac:dyDescent="0.4">
      <c r="A123" s="29">
        <v>120</v>
      </c>
      <c r="B123" s="29" t="str">
        <f t="shared" si="4"/>
        <v>121</v>
      </c>
      <c r="C123" s="29" t="str">
        <f t="shared" si="5"/>
        <v>C</v>
      </c>
      <c r="D123" s="29" t="str">
        <f t="shared" si="6"/>
        <v>B</v>
      </c>
      <c r="E123" s="29" t="str">
        <f t="shared" si="7"/>
        <v>F</v>
      </c>
      <c r="F123" s="1" t="s">
        <v>515</v>
      </c>
      <c r="G123" s="1" t="s">
        <v>486</v>
      </c>
      <c r="H123" s="1" t="s">
        <v>45</v>
      </c>
      <c r="I123" s="1" t="s">
        <v>19</v>
      </c>
      <c r="J123" s="1" t="s">
        <v>39</v>
      </c>
      <c r="K123" s="1" t="s">
        <v>516</v>
      </c>
      <c r="L123" s="1" t="s">
        <v>517</v>
      </c>
      <c r="M123" s="1" t="s">
        <v>22</v>
      </c>
      <c r="N123" s="1" t="s">
        <v>118</v>
      </c>
      <c r="O123" s="1" t="s">
        <v>55</v>
      </c>
      <c r="P123" s="1" t="s">
        <v>24</v>
      </c>
      <c r="Q123" s="1" t="s">
        <v>99</v>
      </c>
      <c r="R123" s="1" t="s">
        <v>518</v>
      </c>
      <c r="S123" s="75">
        <v>43647</v>
      </c>
      <c r="T123" s="1">
        <v>0</v>
      </c>
      <c r="U123" s="1"/>
      <c r="V123" s="1" t="s">
        <v>27</v>
      </c>
      <c r="W123" s="1" t="s">
        <v>1782</v>
      </c>
      <c r="X123" s="1" t="s">
        <v>45</v>
      </c>
      <c r="Y123" s="1" t="s">
        <v>1852</v>
      </c>
      <c r="Z123" s="1" t="s">
        <v>45</v>
      </c>
      <c r="AA123" s="75">
        <v>43647</v>
      </c>
      <c r="AB123" s="75">
        <v>43647</v>
      </c>
      <c r="AC123" s="88">
        <v>700000</v>
      </c>
      <c r="AD123" s="88">
        <v>28815000</v>
      </c>
    </row>
    <row r="124" spans="1:30" x14ac:dyDescent="0.4">
      <c r="A124" s="29">
        <v>121</v>
      </c>
      <c r="B124" s="29" t="str">
        <f t="shared" si="4"/>
        <v>122</v>
      </c>
      <c r="C124" s="29" t="str">
        <f t="shared" si="5"/>
        <v>C</v>
      </c>
      <c r="D124" s="29" t="str">
        <f t="shared" si="6"/>
        <v>B</v>
      </c>
      <c r="E124" s="29" t="str">
        <f t="shared" si="7"/>
        <v>F</v>
      </c>
      <c r="F124" s="1" t="s">
        <v>519</v>
      </c>
      <c r="G124" s="1" t="s">
        <v>1259</v>
      </c>
      <c r="H124" s="1" t="s">
        <v>45</v>
      </c>
      <c r="I124" s="1" t="s">
        <v>19</v>
      </c>
      <c r="J124" s="1" t="s">
        <v>1719</v>
      </c>
      <c r="K124" s="1" t="s">
        <v>1353</v>
      </c>
      <c r="L124" s="1" t="s">
        <v>1354</v>
      </c>
      <c r="M124" s="1" t="s">
        <v>22</v>
      </c>
      <c r="N124" s="1" t="s">
        <v>118</v>
      </c>
      <c r="O124" s="1" t="s">
        <v>55</v>
      </c>
      <c r="P124" s="1" t="s">
        <v>24</v>
      </c>
      <c r="Q124" s="1" t="s">
        <v>495</v>
      </c>
      <c r="R124" s="1" t="s">
        <v>520</v>
      </c>
      <c r="S124" s="75">
        <v>40817</v>
      </c>
      <c r="T124" s="1">
        <v>0</v>
      </c>
      <c r="U124" s="1"/>
      <c r="V124" s="1" t="s">
        <v>27</v>
      </c>
      <c r="W124" s="1" t="s">
        <v>1851</v>
      </c>
      <c r="X124" s="1" t="s">
        <v>45</v>
      </c>
      <c r="Y124" s="1" t="s">
        <v>1837</v>
      </c>
      <c r="Z124" s="1" t="s">
        <v>45</v>
      </c>
      <c r="AA124" s="75">
        <v>40817</v>
      </c>
      <c r="AB124" s="75">
        <v>45748</v>
      </c>
      <c r="AC124" s="88">
        <v>592000</v>
      </c>
      <c r="AD124" s="88">
        <v>24600000</v>
      </c>
    </row>
    <row r="125" spans="1:30" ht="17.399999999999999" customHeight="1" x14ac:dyDescent="0.4">
      <c r="A125" s="29">
        <v>122</v>
      </c>
      <c r="B125" s="29" t="str">
        <f t="shared" si="4"/>
        <v>123</v>
      </c>
      <c r="C125" s="29" t="str">
        <f t="shared" si="5"/>
        <v>C</v>
      </c>
      <c r="D125" s="29" t="str">
        <f t="shared" si="6"/>
        <v>B</v>
      </c>
      <c r="E125" s="29" t="str">
        <f t="shared" si="7"/>
        <v>F</v>
      </c>
      <c r="F125" s="1" t="s">
        <v>1894</v>
      </c>
      <c r="G125" s="1" t="s">
        <v>486</v>
      </c>
      <c r="H125" s="1" t="s">
        <v>45</v>
      </c>
      <c r="I125" s="1" t="s">
        <v>19</v>
      </c>
      <c r="J125" s="1" t="s">
        <v>39</v>
      </c>
      <c r="K125" s="1" t="s">
        <v>521</v>
      </c>
      <c r="L125" s="1" t="s">
        <v>522</v>
      </c>
      <c r="M125" s="1" t="s">
        <v>22</v>
      </c>
      <c r="N125" s="1" t="s">
        <v>81</v>
      </c>
      <c r="O125" s="1" t="s">
        <v>55</v>
      </c>
      <c r="P125" s="1" t="s">
        <v>24</v>
      </c>
      <c r="Q125" s="1"/>
      <c r="R125" s="1" t="s">
        <v>523</v>
      </c>
      <c r="S125" s="75">
        <v>41609</v>
      </c>
      <c r="T125" s="1">
        <v>0</v>
      </c>
      <c r="U125" s="1"/>
      <c r="V125" s="1" t="s">
        <v>27</v>
      </c>
      <c r="W125" s="1" t="s">
        <v>1830</v>
      </c>
      <c r="X125" s="1" t="s">
        <v>45</v>
      </c>
      <c r="Y125" s="1" t="s">
        <v>1853</v>
      </c>
      <c r="Z125" s="1" t="s">
        <v>45</v>
      </c>
      <c r="AA125" s="75">
        <v>41609</v>
      </c>
      <c r="AB125" s="75">
        <v>41640</v>
      </c>
      <c r="AC125" s="88">
        <v>505000</v>
      </c>
      <c r="AD125" s="88">
        <v>25000000</v>
      </c>
    </row>
    <row r="126" spans="1:30" ht="17.399999999999999" customHeight="1" x14ac:dyDescent="0.4">
      <c r="A126" s="29">
        <v>123</v>
      </c>
      <c r="B126" s="29" t="str">
        <f t="shared" si="4"/>
        <v>124</v>
      </c>
      <c r="C126" s="29" t="str">
        <f t="shared" si="5"/>
        <v>E</v>
      </c>
      <c r="D126" s="29" t="str">
        <f t="shared" si="6"/>
        <v>B</v>
      </c>
      <c r="E126" s="29" t="str">
        <f t="shared" si="7"/>
        <v>H</v>
      </c>
      <c r="F126" s="1" t="s">
        <v>1895</v>
      </c>
      <c r="G126" s="1" t="s">
        <v>486</v>
      </c>
      <c r="H126" s="1" t="s">
        <v>45</v>
      </c>
      <c r="I126" s="1" t="s">
        <v>19</v>
      </c>
      <c r="J126" s="1" t="s">
        <v>39</v>
      </c>
      <c r="K126" s="1" t="s">
        <v>524</v>
      </c>
      <c r="L126" s="1" t="s">
        <v>525</v>
      </c>
      <c r="M126" s="1" t="s">
        <v>22</v>
      </c>
      <c r="N126" s="1" t="s">
        <v>1886</v>
      </c>
      <c r="O126" s="1" t="s">
        <v>129</v>
      </c>
      <c r="P126" s="1" t="s">
        <v>526</v>
      </c>
      <c r="Q126" s="1" t="s">
        <v>527</v>
      </c>
      <c r="R126" s="1" t="s">
        <v>528</v>
      </c>
      <c r="S126" s="75">
        <v>44256</v>
      </c>
      <c r="T126" s="1">
        <v>0</v>
      </c>
      <c r="U126" s="1"/>
      <c r="V126" s="1" t="s">
        <v>36</v>
      </c>
      <c r="W126" s="1"/>
      <c r="X126" s="1"/>
      <c r="Y126" s="1"/>
      <c r="Z126" s="1" t="s">
        <v>45</v>
      </c>
      <c r="AA126" s="75">
        <v>44256</v>
      </c>
      <c r="AB126" s="75">
        <v>41091</v>
      </c>
      <c r="AC126" s="88">
        <v>492000</v>
      </c>
      <c r="AD126" s="88">
        <v>13000000</v>
      </c>
    </row>
    <row r="127" spans="1:30" ht="17.399999999999999" customHeight="1" x14ac:dyDescent="0.4">
      <c r="A127" s="29">
        <v>124</v>
      </c>
      <c r="B127" s="29" t="str">
        <f t="shared" si="4"/>
        <v>125</v>
      </c>
      <c r="C127" s="29" t="str">
        <f t="shared" si="5"/>
        <v>E</v>
      </c>
      <c r="D127" s="29" t="str">
        <f t="shared" si="6"/>
        <v>B</v>
      </c>
      <c r="E127" s="29" t="str">
        <f t="shared" si="7"/>
        <v>H</v>
      </c>
      <c r="F127" s="1" t="s">
        <v>1896</v>
      </c>
      <c r="G127" s="1" t="s">
        <v>486</v>
      </c>
      <c r="H127" s="1" t="s">
        <v>45</v>
      </c>
      <c r="I127" s="1" t="s">
        <v>19</v>
      </c>
      <c r="J127" s="1" t="s">
        <v>39</v>
      </c>
      <c r="K127" s="1" t="s">
        <v>529</v>
      </c>
      <c r="L127" s="1" t="s">
        <v>530</v>
      </c>
      <c r="M127" s="1" t="s">
        <v>22</v>
      </c>
      <c r="N127" s="1" t="s">
        <v>1886</v>
      </c>
      <c r="O127" s="1" t="s">
        <v>531</v>
      </c>
      <c r="P127" s="1" t="s">
        <v>526</v>
      </c>
      <c r="Q127" s="1" t="s">
        <v>532</v>
      </c>
      <c r="R127" s="1" t="s">
        <v>533</v>
      </c>
      <c r="S127" s="75">
        <v>41760</v>
      </c>
      <c r="T127" s="1">
        <v>0</v>
      </c>
      <c r="U127" s="1"/>
      <c r="V127" s="1" t="s">
        <v>36</v>
      </c>
      <c r="W127" s="1"/>
      <c r="X127" s="1"/>
      <c r="Y127" s="1"/>
      <c r="Z127" s="1" t="s">
        <v>45</v>
      </c>
      <c r="AA127" s="75">
        <v>41760</v>
      </c>
      <c r="AB127" s="75">
        <v>41760</v>
      </c>
      <c r="AC127" s="88">
        <v>487000</v>
      </c>
      <c r="AD127" s="88">
        <v>13000000</v>
      </c>
    </row>
    <row r="128" spans="1:30" ht="17.399999999999999" customHeight="1" x14ac:dyDescent="0.4">
      <c r="A128" s="29">
        <v>125</v>
      </c>
      <c r="B128" s="29" t="str">
        <f t="shared" si="4"/>
        <v>126</v>
      </c>
      <c r="C128" s="29" t="str">
        <f t="shared" si="5"/>
        <v>E</v>
      </c>
      <c r="D128" s="29" t="str">
        <f t="shared" si="6"/>
        <v>B</v>
      </c>
      <c r="E128" s="29" t="str">
        <f t="shared" si="7"/>
        <v>H</v>
      </c>
      <c r="F128" s="1" t="s">
        <v>1897</v>
      </c>
      <c r="G128" s="1" t="s">
        <v>1836</v>
      </c>
      <c r="H128" s="1" t="s">
        <v>1693</v>
      </c>
      <c r="I128" s="1" t="s">
        <v>736</v>
      </c>
      <c r="J128" s="1" t="s">
        <v>31</v>
      </c>
      <c r="K128" s="1" t="s">
        <v>1707</v>
      </c>
      <c r="L128" s="1" t="s">
        <v>535</v>
      </c>
      <c r="M128" s="1" t="s">
        <v>22</v>
      </c>
      <c r="N128" s="1" t="s">
        <v>1886</v>
      </c>
      <c r="O128" s="1" t="s">
        <v>129</v>
      </c>
      <c r="P128" s="1" t="s">
        <v>536</v>
      </c>
      <c r="Q128" s="1" t="s">
        <v>537</v>
      </c>
      <c r="R128" s="1" t="s">
        <v>538</v>
      </c>
      <c r="S128" s="75">
        <v>43221</v>
      </c>
      <c r="T128" s="1">
        <v>0</v>
      </c>
      <c r="U128" s="1"/>
      <c r="V128" s="1" t="s">
        <v>36</v>
      </c>
      <c r="W128" s="1"/>
      <c r="X128" s="1"/>
      <c r="Y128" s="1"/>
      <c r="Z128" s="1" t="s">
        <v>1836</v>
      </c>
      <c r="AA128" s="75">
        <v>43221</v>
      </c>
      <c r="AB128" s="75">
        <v>45444</v>
      </c>
      <c r="AC128" s="88">
        <v>0</v>
      </c>
      <c r="AD128" s="88">
        <v>13000000</v>
      </c>
    </row>
    <row r="129" spans="1:30" ht="17.399999999999999" customHeight="1" x14ac:dyDescent="0.4">
      <c r="A129" s="29">
        <v>126</v>
      </c>
      <c r="B129" s="29" t="str">
        <f t="shared" si="4"/>
        <v>127</v>
      </c>
      <c r="C129" s="29" t="str">
        <f t="shared" si="5"/>
        <v>E</v>
      </c>
      <c r="D129" s="29" t="str">
        <f t="shared" si="6"/>
        <v>B</v>
      </c>
      <c r="E129" s="29" t="str">
        <f t="shared" si="7"/>
        <v>H</v>
      </c>
      <c r="F129" s="1" t="s">
        <v>1898</v>
      </c>
      <c r="G129" s="1" t="s">
        <v>76</v>
      </c>
      <c r="H129" s="1" t="s">
        <v>76</v>
      </c>
      <c r="I129" s="1" t="s">
        <v>19</v>
      </c>
      <c r="J129" s="1" t="s">
        <v>31</v>
      </c>
      <c r="K129" s="1" t="s">
        <v>76</v>
      </c>
      <c r="L129" s="1" t="s">
        <v>539</v>
      </c>
      <c r="M129" s="1" t="s">
        <v>22</v>
      </c>
      <c r="N129" s="1" t="s">
        <v>1886</v>
      </c>
      <c r="O129" s="1" t="s">
        <v>129</v>
      </c>
      <c r="P129" s="1" t="s">
        <v>536</v>
      </c>
      <c r="Q129" s="1" t="s">
        <v>537</v>
      </c>
      <c r="R129" s="1" t="s">
        <v>1355</v>
      </c>
      <c r="S129" s="75">
        <v>43221</v>
      </c>
      <c r="T129" s="1">
        <v>0</v>
      </c>
      <c r="U129" s="1"/>
      <c r="V129" s="1" t="s">
        <v>36</v>
      </c>
      <c r="W129" s="1"/>
      <c r="X129" s="1"/>
      <c r="Y129" s="1"/>
      <c r="Z129" s="1" t="s">
        <v>1836</v>
      </c>
      <c r="AA129" s="75">
        <v>43252</v>
      </c>
      <c r="AB129" s="75">
        <v>45108</v>
      </c>
      <c r="AC129" s="88">
        <v>400000</v>
      </c>
      <c r="AD129" s="88">
        <v>13000000</v>
      </c>
    </row>
    <row r="130" spans="1:30" x14ac:dyDescent="0.4">
      <c r="A130" s="29">
        <v>127</v>
      </c>
      <c r="B130" s="29" t="str">
        <f t="shared" si="4"/>
        <v>128</v>
      </c>
      <c r="C130" s="29" t="str">
        <f t="shared" si="5"/>
        <v>C</v>
      </c>
      <c r="D130" s="29" t="str">
        <f t="shared" si="6"/>
        <v>B</v>
      </c>
      <c r="E130" s="29" t="str">
        <f t="shared" si="7"/>
        <v>F</v>
      </c>
      <c r="F130" s="1" t="s">
        <v>540</v>
      </c>
      <c r="G130" s="1" t="s">
        <v>486</v>
      </c>
      <c r="H130" s="1" t="s">
        <v>45</v>
      </c>
      <c r="I130" s="1" t="s">
        <v>19</v>
      </c>
      <c r="J130" s="1" t="s">
        <v>39</v>
      </c>
      <c r="K130" s="1" t="s">
        <v>541</v>
      </c>
      <c r="L130" s="1" t="s">
        <v>542</v>
      </c>
      <c r="M130" s="1" t="s">
        <v>22</v>
      </c>
      <c r="N130" s="1" t="s">
        <v>118</v>
      </c>
      <c r="O130" s="1" t="s">
        <v>62</v>
      </c>
      <c r="P130" s="1" t="s">
        <v>24</v>
      </c>
      <c r="Q130" s="1" t="s">
        <v>63</v>
      </c>
      <c r="R130" s="1" t="s">
        <v>543</v>
      </c>
      <c r="S130" s="75">
        <v>41883</v>
      </c>
      <c r="T130" s="1">
        <v>0</v>
      </c>
      <c r="U130" s="1"/>
      <c r="V130" s="1" t="s">
        <v>27</v>
      </c>
      <c r="W130" s="1" t="s">
        <v>1851</v>
      </c>
      <c r="X130" s="1" t="s">
        <v>45</v>
      </c>
      <c r="Y130" s="1" t="s">
        <v>1854</v>
      </c>
      <c r="Z130" s="1" t="s">
        <v>45</v>
      </c>
      <c r="AA130" s="75">
        <v>41904</v>
      </c>
      <c r="AB130" s="75">
        <v>43466</v>
      </c>
      <c r="AC130" s="88">
        <v>572000</v>
      </c>
      <c r="AD130" s="88">
        <v>29800000</v>
      </c>
    </row>
    <row r="131" spans="1:30" x14ac:dyDescent="0.4">
      <c r="A131" s="29">
        <v>128</v>
      </c>
      <c r="B131" s="29" t="str">
        <f t="shared" si="4"/>
        <v>129</v>
      </c>
      <c r="C131" s="29" t="str">
        <f t="shared" si="5"/>
        <v>D</v>
      </c>
      <c r="D131" s="29" t="str">
        <f t="shared" si="6"/>
        <v>B</v>
      </c>
      <c r="E131" s="29" t="str">
        <f t="shared" si="7"/>
        <v>F</v>
      </c>
      <c r="F131" s="1" t="s">
        <v>544</v>
      </c>
      <c r="G131" s="1" t="s">
        <v>486</v>
      </c>
      <c r="H131" s="1" t="s">
        <v>45</v>
      </c>
      <c r="I131" s="1" t="s">
        <v>19</v>
      </c>
      <c r="J131" s="1" t="s">
        <v>39</v>
      </c>
      <c r="K131" s="1" t="s">
        <v>541</v>
      </c>
      <c r="L131" s="1" t="s">
        <v>545</v>
      </c>
      <c r="M131" s="1" t="s">
        <v>22</v>
      </c>
      <c r="N131" s="1" t="s">
        <v>118</v>
      </c>
      <c r="O131" s="1" t="s">
        <v>62</v>
      </c>
      <c r="P131" s="1" t="s">
        <v>41</v>
      </c>
      <c r="Q131" s="1" t="s">
        <v>506</v>
      </c>
      <c r="R131" s="1" t="s">
        <v>546</v>
      </c>
      <c r="S131" s="75">
        <v>40817</v>
      </c>
      <c r="T131" s="1">
        <v>0</v>
      </c>
      <c r="U131" s="1"/>
      <c r="V131" s="1" t="s">
        <v>27</v>
      </c>
      <c r="W131" s="1" t="s">
        <v>1851</v>
      </c>
      <c r="X131" s="1" t="s">
        <v>45</v>
      </c>
      <c r="Y131" s="1" t="s">
        <v>1837</v>
      </c>
      <c r="Z131" s="1" t="s">
        <v>45</v>
      </c>
      <c r="AA131" s="75">
        <v>40817</v>
      </c>
      <c r="AB131" s="75">
        <v>40848</v>
      </c>
      <c r="AC131" s="88">
        <v>487000</v>
      </c>
      <c r="AD131" s="88">
        <v>23650000</v>
      </c>
    </row>
    <row r="132" spans="1:30" x14ac:dyDescent="0.4">
      <c r="A132" s="29">
        <v>129</v>
      </c>
      <c r="B132" s="29" t="str">
        <f t="shared" si="4"/>
        <v>130</v>
      </c>
      <c r="C132" s="29" t="str">
        <f t="shared" si="5"/>
        <v>C</v>
      </c>
      <c r="D132" s="29" t="str">
        <f t="shared" si="6"/>
        <v>B</v>
      </c>
      <c r="E132" s="29" t="str">
        <f t="shared" si="7"/>
        <v>F</v>
      </c>
      <c r="F132" s="1" t="s">
        <v>547</v>
      </c>
      <c r="G132" s="1" t="s">
        <v>1259</v>
      </c>
      <c r="H132" s="1" t="s">
        <v>45</v>
      </c>
      <c r="I132" s="1" t="s">
        <v>19</v>
      </c>
      <c r="J132" s="1" t="s">
        <v>1719</v>
      </c>
      <c r="K132" s="1" t="s">
        <v>1356</v>
      </c>
      <c r="L132" s="1" t="s">
        <v>1357</v>
      </c>
      <c r="M132" s="1" t="s">
        <v>22</v>
      </c>
      <c r="N132" s="1" t="s">
        <v>118</v>
      </c>
      <c r="O132" s="1" t="s">
        <v>55</v>
      </c>
      <c r="P132" s="1" t="s">
        <v>24</v>
      </c>
      <c r="Q132" s="1" t="s">
        <v>495</v>
      </c>
      <c r="R132" s="1" t="s">
        <v>548</v>
      </c>
      <c r="S132" s="75">
        <v>40817</v>
      </c>
      <c r="T132" s="1">
        <v>0</v>
      </c>
      <c r="U132" s="1"/>
      <c r="V132" s="1" t="s">
        <v>27</v>
      </c>
      <c r="W132" s="1" t="s">
        <v>1851</v>
      </c>
      <c r="X132" s="1" t="s">
        <v>45</v>
      </c>
      <c r="Y132" s="1" t="s">
        <v>1837</v>
      </c>
      <c r="Z132" s="1" t="s">
        <v>45</v>
      </c>
      <c r="AA132" s="75">
        <v>40817</v>
      </c>
      <c r="AB132" s="75">
        <v>45748</v>
      </c>
      <c r="AC132" s="88">
        <v>592000</v>
      </c>
      <c r="AD132" s="88">
        <v>24600000</v>
      </c>
    </row>
    <row r="133" spans="1:30" x14ac:dyDescent="0.4">
      <c r="A133" s="29">
        <v>130</v>
      </c>
      <c r="B133" s="29" t="str">
        <f t="shared" ref="B133:B196" si="8">MID(F133,8,3)</f>
        <v>131</v>
      </c>
      <c r="C133" s="29" t="str">
        <f t="shared" ref="C133:C196" si="9">MID(F133,1,1)</f>
        <v>C</v>
      </c>
      <c r="D133" s="29" t="str">
        <f t="shared" ref="D133:D196" si="10">MID(F133,3,1)</f>
        <v>B</v>
      </c>
      <c r="E133" s="29" t="str">
        <f t="shared" ref="E133:E196" si="11">MID(F133,2,1)</f>
        <v>F</v>
      </c>
      <c r="F133" s="1" t="s">
        <v>549</v>
      </c>
      <c r="G133" s="1" t="s">
        <v>550</v>
      </c>
      <c r="H133" s="1" t="s">
        <v>550</v>
      </c>
      <c r="I133" s="1" t="s">
        <v>19</v>
      </c>
      <c r="J133" s="1" t="s">
        <v>31</v>
      </c>
      <c r="K133" s="1" t="s">
        <v>551</v>
      </c>
      <c r="L133" s="1" t="s">
        <v>552</v>
      </c>
      <c r="M133" s="1" t="s">
        <v>22</v>
      </c>
      <c r="N133" s="1" t="s">
        <v>118</v>
      </c>
      <c r="O133" s="1" t="s">
        <v>23</v>
      </c>
      <c r="P133" s="1" t="s">
        <v>24</v>
      </c>
      <c r="Q133" s="1" t="s">
        <v>437</v>
      </c>
      <c r="R133" s="1" t="s">
        <v>553</v>
      </c>
      <c r="S133" s="75">
        <v>40817</v>
      </c>
      <c r="T133" s="1">
        <v>0</v>
      </c>
      <c r="U133" s="1"/>
      <c r="V133" s="1" t="s">
        <v>27</v>
      </c>
      <c r="W133" s="1" t="s">
        <v>1851</v>
      </c>
      <c r="X133" s="1" t="s">
        <v>45</v>
      </c>
      <c r="Y133" s="1" t="s">
        <v>1837</v>
      </c>
      <c r="Z133" s="1" t="s">
        <v>45</v>
      </c>
      <c r="AA133" s="75">
        <v>40817</v>
      </c>
      <c r="AB133" s="75">
        <v>45717</v>
      </c>
      <c r="AC133" s="88">
        <v>600000</v>
      </c>
      <c r="AD133" s="88">
        <v>37436000</v>
      </c>
    </row>
    <row r="134" spans="1:30" ht="17.399999999999999" customHeight="1" x14ac:dyDescent="0.4">
      <c r="A134" s="29">
        <v>131</v>
      </c>
      <c r="B134" s="29" t="str">
        <f t="shared" si="8"/>
        <v>132</v>
      </c>
      <c r="C134" s="29" t="str">
        <f t="shared" si="9"/>
        <v>D</v>
      </c>
      <c r="D134" s="29" t="str">
        <f t="shared" si="10"/>
        <v>B</v>
      </c>
      <c r="E134" s="29" t="str">
        <f t="shared" si="11"/>
        <v>F</v>
      </c>
      <c r="F134" s="1" t="s">
        <v>1899</v>
      </c>
      <c r="G134" s="1" t="s">
        <v>486</v>
      </c>
      <c r="H134" s="1" t="s">
        <v>45</v>
      </c>
      <c r="I134" s="1" t="s">
        <v>19</v>
      </c>
      <c r="J134" s="1" t="s">
        <v>39</v>
      </c>
      <c r="K134" s="1" t="s">
        <v>554</v>
      </c>
      <c r="L134" s="1" t="s">
        <v>555</v>
      </c>
      <c r="M134" s="1" t="s">
        <v>22</v>
      </c>
      <c r="N134" s="1" t="s">
        <v>81</v>
      </c>
      <c r="O134" s="1" t="s">
        <v>55</v>
      </c>
      <c r="P134" s="1" t="s">
        <v>41</v>
      </c>
      <c r="Q134" s="1" t="s">
        <v>556</v>
      </c>
      <c r="R134" s="1" t="s">
        <v>557</v>
      </c>
      <c r="S134" s="75">
        <v>40817</v>
      </c>
      <c r="T134" s="1">
        <v>0</v>
      </c>
      <c r="U134" s="1"/>
      <c r="V134" s="1" t="s">
        <v>27</v>
      </c>
      <c r="W134" s="1" t="s">
        <v>1851</v>
      </c>
      <c r="X134" s="1" t="s">
        <v>45</v>
      </c>
      <c r="Y134" s="1" t="s">
        <v>1837</v>
      </c>
      <c r="Z134" s="1" t="s">
        <v>45</v>
      </c>
      <c r="AA134" s="75">
        <v>40817</v>
      </c>
      <c r="AB134" s="75">
        <v>40848</v>
      </c>
      <c r="AC134" s="88">
        <v>487000</v>
      </c>
      <c r="AD134" s="88">
        <v>21690000</v>
      </c>
    </row>
    <row r="135" spans="1:30" x14ac:dyDescent="0.4">
      <c r="A135" s="29">
        <v>132</v>
      </c>
      <c r="B135" s="29" t="str">
        <f t="shared" si="8"/>
        <v>133</v>
      </c>
      <c r="C135" s="29" t="str">
        <f t="shared" si="9"/>
        <v>D</v>
      </c>
      <c r="D135" s="29" t="str">
        <f t="shared" si="10"/>
        <v>B</v>
      </c>
      <c r="E135" s="29" t="str">
        <f t="shared" si="11"/>
        <v>F</v>
      </c>
      <c r="F135" s="1" t="s">
        <v>558</v>
      </c>
      <c r="G135" s="1" t="s">
        <v>550</v>
      </c>
      <c r="H135" s="1" t="s">
        <v>550</v>
      </c>
      <c r="I135" s="1" t="s">
        <v>19</v>
      </c>
      <c r="J135" s="1" t="s">
        <v>31</v>
      </c>
      <c r="K135" s="1" t="s">
        <v>550</v>
      </c>
      <c r="L135" s="1" t="s">
        <v>559</v>
      </c>
      <c r="M135" s="1" t="s">
        <v>22</v>
      </c>
      <c r="N135" s="1" t="s">
        <v>118</v>
      </c>
      <c r="O135" s="1" t="s">
        <v>33</v>
      </c>
      <c r="P135" s="1" t="s">
        <v>41</v>
      </c>
      <c r="Q135" s="1" t="s">
        <v>560</v>
      </c>
      <c r="R135" s="1" t="s">
        <v>561</v>
      </c>
      <c r="S135" s="75">
        <v>40817</v>
      </c>
      <c r="T135" s="1">
        <v>0</v>
      </c>
      <c r="U135" s="1"/>
      <c r="V135" s="1" t="s">
        <v>27</v>
      </c>
      <c r="W135" s="1" t="s">
        <v>1851</v>
      </c>
      <c r="X135" s="1" t="s">
        <v>45</v>
      </c>
      <c r="Y135" s="1" t="s">
        <v>1837</v>
      </c>
      <c r="Z135" s="1" t="s">
        <v>45</v>
      </c>
      <c r="AA135" s="75">
        <v>40817</v>
      </c>
      <c r="AB135" s="75">
        <v>45474</v>
      </c>
      <c r="AC135" s="88">
        <v>580000</v>
      </c>
      <c r="AD135" s="88">
        <v>26910000</v>
      </c>
    </row>
    <row r="136" spans="1:30" ht="17.399999999999999" customHeight="1" x14ac:dyDescent="0.4">
      <c r="A136" s="29">
        <v>133</v>
      </c>
      <c r="B136" s="29" t="str">
        <f t="shared" si="8"/>
        <v>134</v>
      </c>
      <c r="C136" s="29" t="str">
        <f t="shared" si="9"/>
        <v>D</v>
      </c>
      <c r="D136" s="29" t="str">
        <f t="shared" si="10"/>
        <v>O</v>
      </c>
      <c r="E136" s="29" t="str">
        <f t="shared" si="11"/>
        <v>F</v>
      </c>
      <c r="F136" s="1" t="s">
        <v>562</v>
      </c>
      <c r="G136" s="1" t="s">
        <v>1836</v>
      </c>
      <c r="H136" s="1" t="s">
        <v>1693</v>
      </c>
      <c r="I136" s="1" t="s">
        <v>736</v>
      </c>
      <c r="J136" s="1" t="s">
        <v>31</v>
      </c>
      <c r="K136" s="1" t="s">
        <v>1707</v>
      </c>
      <c r="L136" s="1" t="s">
        <v>1709</v>
      </c>
      <c r="M136" s="1" t="s">
        <v>22</v>
      </c>
      <c r="N136" s="1" t="s">
        <v>118</v>
      </c>
      <c r="O136" s="1" t="s">
        <v>114</v>
      </c>
      <c r="P136" s="1" t="s">
        <v>41</v>
      </c>
      <c r="Q136" s="1" t="s">
        <v>564</v>
      </c>
      <c r="R136" s="1" t="s">
        <v>565</v>
      </c>
      <c r="S136" s="75">
        <v>40817</v>
      </c>
      <c r="T136" s="1">
        <v>0</v>
      </c>
      <c r="U136" s="1" t="s">
        <v>566</v>
      </c>
      <c r="V136" s="1" t="s">
        <v>27</v>
      </c>
      <c r="W136" s="1" t="s">
        <v>1830</v>
      </c>
      <c r="X136" s="1"/>
      <c r="Y136" s="1" t="s">
        <v>1837</v>
      </c>
      <c r="Z136" s="1" t="s">
        <v>45</v>
      </c>
      <c r="AA136" s="75">
        <v>40857</v>
      </c>
      <c r="AB136" s="75">
        <v>45870</v>
      </c>
      <c r="AC136" s="88">
        <v>0</v>
      </c>
      <c r="AD136" s="88">
        <v>38850000</v>
      </c>
    </row>
    <row r="137" spans="1:30" ht="17.399999999999999" customHeight="1" x14ac:dyDescent="0.4">
      <c r="A137" s="29">
        <v>134</v>
      </c>
      <c r="B137" s="29" t="str">
        <f t="shared" si="8"/>
        <v>135</v>
      </c>
      <c r="C137" s="29" t="str">
        <f t="shared" si="9"/>
        <v>D</v>
      </c>
      <c r="D137" s="29" t="str">
        <f t="shared" si="10"/>
        <v>O</v>
      </c>
      <c r="E137" s="29" t="str">
        <f t="shared" si="11"/>
        <v>F</v>
      </c>
      <c r="F137" s="1" t="s">
        <v>567</v>
      </c>
      <c r="G137" s="1" t="s">
        <v>1836</v>
      </c>
      <c r="H137" s="1" t="s">
        <v>1693</v>
      </c>
      <c r="I137" s="1" t="s">
        <v>736</v>
      </c>
      <c r="J137" s="1" t="s">
        <v>31</v>
      </c>
      <c r="K137" s="1" t="s">
        <v>2034</v>
      </c>
      <c r="L137" s="1" t="s">
        <v>2057</v>
      </c>
      <c r="M137" s="1" t="s">
        <v>22</v>
      </c>
      <c r="N137" s="1" t="s">
        <v>118</v>
      </c>
      <c r="O137" s="1" t="s">
        <v>339</v>
      </c>
      <c r="P137" s="1" t="s">
        <v>41</v>
      </c>
      <c r="Q137" s="1" t="s">
        <v>568</v>
      </c>
      <c r="R137" s="1" t="s">
        <v>569</v>
      </c>
      <c r="S137" s="75">
        <v>40817</v>
      </c>
      <c r="T137" s="1">
        <v>0</v>
      </c>
      <c r="U137" s="1" t="s">
        <v>570</v>
      </c>
      <c r="V137" s="1" t="s">
        <v>27</v>
      </c>
      <c r="W137" s="1" t="s">
        <v>1830</v>
      </c>
      <c r="X137" s="1" t="s">
        <v>45</v>
      </c>
      <c r="Y137" s="1" t="s">
        <v>1837</v>
      </c>
      <c r="Z137" s="1" t="s">
        <v>45</v>
      </c>
      <c r="AA137" s="75">
        <v>40817</v>
      </c>
      <c r="AB137" s="75">
        <v>46113</v>
      </c>
      <c r="AC137" s="88">
        <v>0</v>
      </c>
      <c r="AD137" s="88">
        <v>39490000</v>
      </c>
    </row>
    <row r="138" spans="1:30" ht="17.399999999999999" customHeight="1" x14ac:dyDescent="0.4">
      <c r="A138" s="29">
        <v>135</v>
      </c>
      <c r="B138" s="29" t="str">
        <f t="shared" si="8"/>
        <v>136</v>
      </c>
      <c r="C138" s="29" t="str">
        <f t="shared" si="9"/>
        <v>D</v>
      </c>
      <c r="D138" s="29" t="str">
        <f t="shared" si="10"/>
        <v>O</v>
      </c>
      <c r="E138" s="29" t="str">
        <f t="shared" si="11"/>
        <v>F</v>
      </c>
      <c r="F138" s="1" t="s">
        <v>571</v>
      </c>
      <c r="G138" s="1" t="s">
        <v>486</v>
      </c>
      <c r="H138" s="1" t="s">
        <v>45</v>
      </c>
      <c r="I138" s="1" t="s">
        <v>19</v>
      </c>
      <c r="J138" s="1" t="s">
        <v>39</v>
      </c>
      <c r="K138" s="1" t="s">
        <v>572</v>
      </c>
      <c r="L138" s="1" t="s">
        <v>573</v>
      </c>
      <c r="M138" s="1" t="s">
        <v>22</v>
      </c>
      <c r="N138" s="1" t="s">
        <v>118</v>
      </c>
      <c r="O138" s="1" t="s">
        <v>317</v>
      </c>
      <c r="P138" s="1" t="s">
        <v>41</v>
      </c>
      <c r="Q138" s="1" t="s">
        <v>318</v>
      </c>
      <c r="R138" s="1" t="s">
        <v>574</v>
      </c>
      <c r="S138" s="75">
        <v>40817</v>
      </c>
      <c r="T138" s="1">
        <v>0</v>
      </c>
      <c r="U138" s="1" t="s">
        <v>575</v>
      </c>
      <c r="V138" s="1" t="s">
        <v>27</v>
      </c>
      <c r="W138" s="1" t="s">
        <v>1830</v>
      </c>
      <c r="X138" s="1" t="s">
        <v>45</v>
      </c>
      <c r="Y138" s="1" t="s">
        <v>1855</v>
      </c>
      <c r="Z138" s="1" t="s">
        <v>45</v>
      </c>
      <c r="AA138" s="75">
        <v>43862</v>
      </c>
      <c r="AB138" s="75">
        <v>43891</v>
      </c>
      <c r="AC138" s="88">
        <v>817000</v>
      </c>
      <c r="AD138" s="88">
        <v>38950000</v>
      </c>
    </row>
    <row r="139" spans="1:30" ht="17.399999999999999" customHeight="1" x14ac:dyDescent="0.4">
      <c r="A139" s="29">
        <v>136</v>
      </c>
      <c r="B139" s="29" t="str">
        <f t="shared" si="8"/>
        <v>137</v>
      </c>
      <c r="C139" s="29" t="str">
        <f t="shared" si="9"/>
        <v>D</v>
      </c>
      <c r="D139" s="29" t="str">
        <f t="shared" si="10"/>
        <v>O</v>
      </c>
      <c r="E139" s="29" t="str">
        <f t="shared" si="11"/>
        <v>F</v>
      </c>
      <c r="F139" s="1" t="s">
        <v>576</v>
      </c>
      <c r="G139" s="1" t="s">
        <v>1836</v>
      </c>
      <c r="H139" s="1" t="s">
        <v>1693</v>
      </c>
      <c r="I139" s="1" t="s">
        <v>736</v>
      </c>
      <c r="J139" s="1" t="s">
        <v>31</v>
      </c>
      <c r="K139" s="1" t="s">
        <v>2034</v>
      </c>
      <c r="L139" s="1" t="s">
        <v>2057</v>
      </c>
      <c r="M139" s="1" t="s">
        <v>22</v>
      </c>
      <c r="N139" s="1" t="s">
        <v>118</v>
      </c>
      <c r="O139" s="1" t="s">
        <v>339</v>
      </c>
      <c r="P139" s="1" t="s">
        <v>41</v>
      </c>
      <c r="Q139" s="1" t="s">
        <v>366</v>
      </c>
      <c r="R139" s="1" t="s">
        <v>577</v>
      </c>
      <c r="S139" s="75">
        <v>43586</v>
      </c>
      <c r="T139" s="1">
        <v>0</v>
      </c>
      <c r="U139" s="1" t="s">
        <v>578</v>
      </c>
      <c r="V139" s="1" t="s">
        <v>27</v>
      </c>
      <c r="W139" s="1" t="s">
        <v>1830</v>
      </c>
      <c r="X139" s="1" t="s">
        <v>45</v>
      </c>
      <c r="Y139" s="1" t="s">
        <v>1837</v>
      </c>
      <c r="Z139" s="1" t="s">
        <v>45</v>
      </c>
      <c r="AA139" s="75">
        <v>43586</v>
      </c>
      <c r="AB139" s="75">
        <v>46113</v>
      </c>
      <c r="AC139" s="88">
        <v>0</v>
      </c>
      <c r="AD139" s="88">
        <v>55700000</v>
      </c>
    </row>
    <row r="140" spans="1:30" x14ac:dyDescent="0.4">
      <c r="A140" s="29">
        <v>137</v>
      </c>
      <c r="B140" s="29" t="str">
        <f t="shared" si="8"/>
        <v>138</v>
      </c>
      <c r="C140" s="29" t="str">
        <f t="shared" si="9"/>
        <v>C</v>
      </c>
      <c r="D140" s="29" t="str">
        <f t="shared" si="10"/>
        <v>B</v>
      </c>
      <c r="E140" s="29" t="str">
        <f t="shared" si="11"/>
        <v>F</v>
      </c>
      <c r="F140" s="1" t="s">
        <v>579</v>
      </c>
      <c r="G140" s="1" t="s">
        <v>76</v>
      </c>
      <c r="H140" s="1" t="s">
        <v>76</v>
      </c>
      <c r="I140" s="1" t="s">
        <v>19</v>
      </c>
      <c r="J140" s="1" t="s">
        <v>31</v>
      </c>
      <c r="K140" s="1" t="s">
        <v>76</v>
      </c>
      <c r="L140" s="1" t="s">
        <v>580</v>
      </c>
      <c r="M140" s="1" t="s">
        <v>22</v>
      </c>
      <c r="N140" s="1" t="s">
        <v>118</v>
      </c>
      <c r="O140" s="1" t="s">
        <v>23</v>
      </c>
      <c r="P140" s="1" t="s">
        <v>24</v>
      </c>
      <c r="Q140" s="1" t="s">
        <v>437</v>
      </c>
      <c r="R140" s="1" t="s">
        <v>581</v>
      </c>
      <c r="S140" s="75">
        <v>40817</v>
      </c>
      <c r="T140" s="1">
        <v>0</v>
      </c>
      <c r="U140" s="1"/>
      <c r="V140" s="1" t="s">
        <v>27</v>
      </c>
      <c r="W140" s="1" t="s">
        <v>1830</v>
      </c>
      <c r="X140" s="1" t="s">
        <v>1836</v>
      </c>
      <c r="Y140" s="1" t="s">
        <v>1834</v>
      </c>
      <c r="Z140" s="1" t="s">
        <v>1836</v>
      </c>
      <c r="AA140" s="75">
        <v>40848</v>
      </c>
      <c r="AB140" s="75">
        <v>45108</v>
      </c>
      <c r="AC140" s="88">
        <v>570000</v>
      </c>
      <c r="AD140" s="88">
        <v>13900000</v>
      </c>
    </row>
    <row r="141" spans="1:30" x14ac:dyDescent="0.4">
      <c r="A141" s="29">
        <v>138</v>
      </c>
      <c r="B141" s="29" t="str">
        <f t="shared" si="8"/>
        <v>139</v>
      </c>
      <c r="C141" s="29" t="str">
        <f t="shared" si="9"/>
        <v>C</v>
      </c>
      <c r="D141" s="29" t="str">
        <f t="shared" si="10"/>
        <v>B</v>
      </c>
      <c r="E141" s="29" t="str">
        <f t="shared" si="11"/>
        <v>F</v>
      </c>
      <c r="F141" s="1" t="s">
        <v>582</v>
      </c>
      <c r="G141" s="1" t="s">
        <v>76</v>
      </c>
      <c r="H141" s="1" t="s">
        <v>76</v>
      </c>
      <c r="I141" s="1" t="s">
        <v>19</v>
      </c>
      <c r="J141" s="1" t="s">
        <v>31</v>
      </c>
      <c r="K141" s="1" t="s">
        <v>76</v>
      </c>
      <c r="L141" s="1" t="s">
        <v>583</v>
      </c>
      <c r="M141" s="1" t="s">
        <v>22</v>
      </c>
      <c r="N141" s="1" t="s">
        <v>118</v>
      </c>
      <c r="O141" s="1" t="s">
        <v>23</v>
      </c>
      <c r="P141" s="1" t="s">
        <v>24</v>
      </c>
      <c r="Q141" s="1" t="s">
        <v>437</v>
      </c>
      <c r="R141" s="1" t="s">
        <v>584</v>
      </c>
      <c r="S141" s="75">
        <v>40817</v>
      </c>
      <c r="T141" s="1">
        <v>0</v>
      </c>
      <c r="U141" s="1"/>
      <c r="V141" s="1" t="s">
        <v>27</v>
      </c>
      <c r="W141" s="1" t="s">
        <v>1830</v>
      </c>
      <c r="X141" s="1" t="s">
        <v>1836</v>
      </c>
      <c r="Y141" s="1" t="s">
        <v>1834</v>
      </c>
      <c r="Z141" s="1" t="s">
        <v>1836</v>
      </c>
      <c r="AA141" s="75">
        <v>40848</v>
      </c>
      <c r="AB141" s="75">
        <v>45108</v>
      </c>
      <c r="AC141" s="88">
        <v>570000</v>
      </c>
      <c r="AD141" s="88">
        <v>31900000</v>
      </c>
    </row>
    <row r="142" spans="1:30" x14ac:dyDescent="0.4">
      <c r="A142" s="29">
        <v>139</v>
      </c>
      <c r="B142" s="29" t="str">
        <f t="shared" si="8"/>
        <v>140</v>
      </c>
      <c r="C142" s="29" t="str">
        <f t="shared" si="9"/>
        <v>C</v>
      </c>
      <c r="D142" s="29" t="str">
        <f t="shared" si="10"/>
        <v>B</v>
      </c>
      <c r="E142" s="29" t="str">
        <f t="shared" si="11"/>
        <v>F</v>
      </c>
      <c r="F142" s="1" t="s">
        <v>585</v>
      </c>
      <c r="G142" s="1" t="s">
        <v>76</v>
      </c>
      <c r="H142" s="1" t="s">
        <v>76</v>
      </c>
      <c r="I142" s="1" t="s">
        <v>19</v>
      </c>
      <c r="J142" s="1" t="s">
        <v>31</v>
      </c>
      <c r="K142" s="1" t="s">
        <v>76</v>
      </c>
      <c r="L142" s="1" t="s">
        <v>586</v>
      </c>
      <c r="M142" s="1" t="s">
        <v>22</v>
      </c>
      <c r="N142" s="1" t="s">
        <v>118</v>
      </c>
      <c r="O142" s="1" t="s">
        <v>23</v>
      </c>
      <c r="P142" s="1" t="s">
        <v>24</v>
      </c>
      <c r="Q142" s="1" t="s">
        <v>437</v>
      </c>
      <c r="R142" s="1" t="s">
        <v>587</v>
      </c>
      <c r="S142" s="75">
        <v>40817</v>
      </c>
      <c r="T142" s="1">
        <v>0</v>
      </c>
      <c r="U142" s="1"/>
      <c r="V142" s="1" t="s">
        <v>36</v>
      </c>
      <c r="W142" s="1"/>
      <c r="X142" s="1"/>
      <c r="Y142" s="1"/>
      <c r="Z142" s="1" t="s">
        <v>1836</v>
      </c>
      <c r="AA142" s="75">
        <v>40848</v>
      </c>
      <c r="AB142" s="75">
        <v>45108</v>
      </c>
      <c r="AC142" s="88">
        <v>570000</v>
      </c>
      <c r="AD142" s="88">
        <v>31900000</v>
      </c>
    </row>
    <row r="143" spans="1:30" x14ac:dyDescent="0.4">
      <c r="A143" s="29">
        <v>140</v>
      </c>
      <c r="B143" s="29" t="str">
        <f t="shared" si="8"/>
        <v>141</v>
      </c>
      <c r="C143" s="29" t="str">
        <f t="shared" si="9"/>
        <v>C</v>
      </c>
      <c r="D143" s="29" t="str">
        <f t="shared" si="10"/>
        <v>B</v>
      </c>
      <c r="E143" s="29" t="str">
        <f t="shared" si="11"/>
        <v>F</v>
      </c>
      <c r="F143" s="1" t="s">
        <v>588</v>
      </c>
      <c r="G143" s="1" t="s">
        <v>76</v>
      </c>
      <c r="H143" s="1" t="s">
        <v>76</v>
      </c>
      <c r="I143" s="1" t="s">
        <v>19</v>
      </c>
      <c r="J143" s="1" t="s">
        <v>31</v>
      </c>
      <c r="K143" s="1" t="s">
        <v>1367</v>
      </c>
      <c r="L143" s="1" t="s">
        <v>589</v>
      </c>
      <c r="M143" s="1" t="s">
        <v>22</v>
      </c>
      <c r="N143" s="1" t="s">
        <v>118</v>
      </c>
      <c r="O143" s="1" t="s">
        <v>23</v>
      </c>
      <c r="P143" s="1" t="s">
        <v>24</v>
      </c>
      <c r="Q143" s="1" t="s">
        <v>437</v>
      </c>
      <c r="R143" s="1" t="s">
        <v>590</v>
      </c>
      <c r="S143" s="75">
        <v>40817</v>
      </c>
      <c r="T143" s="1">
        <v>0</v>
      </c>
      <c r="U143" s="1"/>
      <c r="V143" s="1" t="s">
        <v>27</v>
      </c>
      <c r="W143" s="1" t="s">
        <v>1830</v>
      </c>
      <c r="X143" s="1" t="s">
        <v>1836</v>
      </c>
      <c r="Y143" s="1" t="s">
        <v>1834</v>
      </c>
      <c r="Z143" s="1" t="s">
        <v>1836</v>
      </c>
      <c r="AA143" s="75">
        <v>40848</v>
      </c>
      <c r="AB143" s="75">
        <v>45108</v>
      </c>
      <c r="AC143" s="88">
        <v>570000</v>
      </c>
      <c r="AD143" s="88">
        <v>3190000</v>
      </c>
    </row>
    <row r="144" spans="1:30" x14ac:dyDescent="0.4">
      <c r="A144" s="29">
        <v>141</v>
      </c>
      <c r="B144" s="29" t="str">
        <f t="shared" si="8"/>
        <v>142</v>
      </c>
      <c r="C144" s="29" t="str">
        <f t="shared" si="9"/>
        <v>C</v>
      </c>
      <c r="D144" s="29" t="str">
        <f t="shared" si="10"/>
        <v>B</v>
      </c>
      <c r="E144" s="29" t="str">
        <f t="shared" si="11"/>
        <v>F</v>
      </c>
      <c r="F144" s="1" t="s">
        <v>2058</v>
      </c>
      <c r="G144" s="1" t="s">
        <v>101</v>
      </c>
      <c r="H144" s="1" t="s">
        <v>101</v>
      </c>
      <c r="I144" s="1" t="s">
        <v>19</v>
      </c>
      <c r="J144" s="1" t="s">
        <v>1362</v>
      </c>
      <c r="K144" s="1" t="s">
        <v>101</v>
      </c>
      <c r="L144" s="1" t="s">
        <v>1363</v>
      </c>
      <c r="M144" s="1" t="s">
        <v>22</v>
      </c>
      <c r="N144" s="1" t="s">
        <v>118</v>
      </c>
      <c r="O144" s="1" t="s">
        <v>23</v>
      </c>
      <c r="P144" s="1" t="s">
        <v>24</v>
      </c>
      <c r="Q144" s="1" t="s">
        <v>437</v>
      </c>
      <c r="R144" s="1" t="s">
        <v>591</v>
      </c>
      <c r="S144" s="75">
        <v>40817</v>
      </c>
      <c r="T144" s="1">
        <v>11641</v>
      </c>
      <c r="U144" s="1"/>
      <c r="V144" s="1" t="s">
        <v>36</v>
      </c>
      <c r="W144" s="1"/>
      <c r="X144" s="1"/>
      <c r="Y144" s="1"/>
      <c r="Z144" s="1" t="s">
        <v>1836</v>
      </c>
      <c r="AA144" s="75">
        <v>40848</v>
      </c>
      <c r="AB144" s="75">
        <v>45749</v>
      </c>
      <c r="AC144" s="88">
        <v>700000</v>
      </c>
      <c r="AD144" s="88">
        <v>39800000</v>
      </c>
    </row>
    <row r="145" spans="1:30" x14ac:dyDescent="0.4">
      <c r="A145" s="29">
        <v>142</v>
      </c>
      <c r="B145" s="29" t="str">
        <f t="shared" si="8"/>
        <v>143</v>
      </c>
      <c r="C145" s="29" t="str">
        <f t="shared" si="9"/>
        <v>C</v>
      </c>
      <c r="D145" s="29" t="str">
        <f t="shared" si="10"/>
        <v>B</v>
      </c>
      <c r="E145" s="29" t="str">
        <f t="shared" si="11"/>
        <v>F</v>
      </c>
      <c r="F145" s="1" t="s">
        <v>592</v>
      </c>
      <c r="G145" s="1" t="s">
        <v>1790</v>
      </c>
      <c r="H145" s="1" t="s">
        <v>1836</v>
      </c>
      <c r="I145" s="1" t="s">
        <v>19</v>
      </c>
      <c r="J145" s="1" t="s">
        <v>1362</v>
      </c>
      <c r="K145" s="1" t="s">
        <v>1790</v>
      </c>
      <c r="L145" s="1" t="s">
        <v>1815</v>
      </c>
      <c r="M145" s="1" t="s">
        <v>22</v>
      </c>
      <c r="N145" s="1" t="s">
        <v>118</v>
      </c>
      <c r="O145" s="1" t="s">
        <v>33</v>
      </c>
      <c r="P145" s="1" t="s">
        <v>24</v>
      </c>
      <c r="Q145" s="1" t="s">
        <v>34</v>
      </c>
      <c r="R145" s="1" t="s">
        <v>593</v>
      </c>
      <c r="S145" s="75">
        <v>42095</v>
      </c>
      <c r="T145" s="1">
        <v>0</v>
      </c>
      <c r="U145" s="1"/>
      <c r="V145" s="1" t="s">
        <v>36</v>
      </c>
      <c r="W145" s="1"/>
      <c r="X145" s="1"/>
      <c r="Y145" s="1"/>
      <c r="Z145" s="1" t="s">
        <v>45</v>
      </c>
      <c r="AA145" s="75">
        <v>42095</v>
      </c>
      <c r="AB145" s="75">
        <v>45962</v>
      </c>
      <c r="AC145" s="88">
        <v>560000</v>
      </c>
      <c r="AD145" s="88">
        <v>30110000</v>
      </c>
    </row>
    <row r="146" spans="1:30" x14ac:dyDescent="0.4">
      <c r="A146" s="29">
        <v>143</v>
      </c>
      <c r="B146" s="29" t="str">
        <f t="shared" si="8"/>
        <v>144</v>
      </c>
      <c r="C146" s="29" t="str">
        <f t="shared" si="9"/>
        <v>C</v>
      </c>
      <c r="D146" s="29" t="str">
        <f t="shared" si="10"/>
        <v>B</v>
      </c>
      <c r="E146" s="29" t="str">
        <f t="shared" si="11"/>
        <v>F</v>
      </c>
      <c r="F146" s="1" t="s">
        <v>594</v>
      </c>
      <c r="G146" s="1" t="s">
        <v>392</v>
      </c>
      <c r="H146" s="1" t="s">
        <v>392</v>
      </c>
      <c r="I146" s="1" t="s">
        <v>19</v>
      </c>
      <c r="J146" s="1" t="s">
        <v>1362</v>
      </c>
      <c r="K146" s="1" t="s">
        <v>393</v>
      </c>
      <c r="L146" s="1" t="s">
        <v>595</v>
      </c>
      <c r="M146" s="1" t="s">
        <v>22</v>
      </c>
      <c r="N146" s="1" t="s">
        <v>118</v>
      </c>
      <c r="O146" s="1" t="s">
        <v>33</v>
      </c>
      <c r="P146" s="1" t="s">
        <v>24</v>
      </c>
      <c r="Q146" s="1" t="s">
        <v>34</v>
      </c>
      <c r="R146" s="1" t="s">
        <v>596</v>
      </c>
      <c r="S146" s="75">
        <v>43556</v>
      </c>
      <c r="T146" s="1">
        <v>0</v>
      </c>
      <c r="U146" s="1"/>
      <c r="V146" s="1" t="s">
        <v>36</v>
      </c>
      <c r="W146" s="1"/>
      <c r="X146" s="1"/>
      <c r="Y146" s="1"/>
      <c r="Z146" s="1" t="s">
        <v>1836</v>
      </c>
      <c r="AA146" s="75">
        <v>43556</v>
      </c>
      <c r="AB146" s="75">
        <v>45444</v>
      </c>
      <c r="AC146" s="88">
        <v>530000</v>
      </c>
      <c r="AD146" s="88">
        <v>33400000</v>
      </c>
    </row>
    <row r="147" spans="1:30" ht="17.399999999999999" customHeight="1" x14ac:dyDescent="0.4">
      <c r="A147" s="29">
        <v>144</v>
      </c>
      <c r="B147" s="29" t="str">
        <f t="shared" si="8"/>
        <v>145</v>
      </c>
      <c r="C147" s="29" t="str">
        <f t="shared" si="9"/>
        <v>D</v>
      </c>
      <c r="D147" s="29" t="str">
        <f t="shared" si="10"/>
        <v>O</v>
      </c>
      <c r="E147" s="29" t="str">
        <f t="shared" si="11"/>
        <v>F</v>
      </c>
      <c r="F147" s="1" t="s">
        <v>597</v>
      </c>
      <c r="G147" s="1" t="s">
        <v>1836</v>
      </c>
      <c r="H147" s="1" t="s">
        <v>1693</v>
      </c>
      <c r="I147" s="1" t="s">
        <v>736</v>
      </c>
      <c r="J147" s="1" t="s">
        <v>31</v>
      </c>
      <c r="K147" s="1" t="s">
        <v>2034</v>
      </c>
      <c r="L147" s="1" t="s">
        <v>2059</v>
      </c>
      <c r="M147" s="1" t="s">
        <v>22</v>
      </c>
      <c r="N147" s="1" t="s">
        <v>118</v>
      </c>
      <c r="O147" s="1" t="s">
        <v>339</v>
      </c>
      <c r="P147" s="1" t="s">
        <v>41</v>
      </c>
      <c r="Q147" s="1" t="s">
        <v>598</v>
      </c>
      <c r="R147" s="1" t="s">
        <v>599</v>
      </c>
      <c r="S147" s="75">
        <v>38443</v>
      </c>
      <c r="T147" s="1">
        <v>0</v>
      </c>
      <c r="U147" s="1" t="s">
        <v>600</v>
      </c>
      <c r="V147" s="1" t="s">
        <v>27</v>
      </c>
      <c r="W147" s="1" t="s">
        <v>1830</v>
      </c>
      <c r="X147" s="1" t="s">
        <v>45</v>
      </c>
      <c r="Y147" s="1" t="s">
        <v>1855</v>
      </c>
      <c r="Z147" s="1" t="s">
        <v>45</v>
      </c>
      <c r="AA147" s="75">
        <v>44440</v>
      </c>
      <c r="AB147" s="75">
        <v>46113</v>
      </c>
      <c r="AC147" s="88">
        <v>0</v>
      </c>
      <c r="AD147" s="88">
        <v>3000000</v>
      </c>
    </row>
    <row r="148" spans="1:30" ht="17.399999999999999" customHeight="1" x14ac:dyDescent="0.4">
      <c r="A148" s="29">
        <v>145</v>
      </c>
      <c r="B148" s="29" t="str">
        <f t="shared" si="8"/>
        <v>146</v>
      </c>
      <c r="C148" s="29" t="str">
        <f t="shared" si="9"/>
        <v>D</v>
      </c>
      <c r="D148" s="29" t="str">
        <f t="shared" si="10"/>
        <v>O</v>
      </c>
      <c r="E148" s="29" t="str">
        <f t="shared" si="11"/>
        <v>F</v>
      </c>
      <c r="F148" s="1" t="s">
        <v>601</v>
      </c>
      <c r="G148" s="1" t="s">
        <v>486</v>
      </c>
      <c r="H148" s="1" t="s">
        <v>45</v>
      </c>
      <c r="I148" s="1" t="s">
        <v>19</v>
      </c>
      <c r="J148" s="1" t="s">
        <v>39</v>
      </c>
      <c r="K148" s="1" t="s">
        <v>563</v>
      </c>
      <c r="L148" s="1" t="s">
        <v>602</v>
      </c>
      <c r="M148" s="1" t="s">
        <v>22</v>
      </c>
      <c r="N148" s="1" t="s">
        <v>118</v>
      </c>
      <c r="O148" s="1" t="s">
        <v>339</v>
      </c>
      <c r="P148" s="1" t="s">
        <v>41</v>
      </c>
      <c r="Q148" s="1" t="s">
        <v>366</v>
      </c>
      <c r="R148" s="1" t="s">
        <v>603</v>
      </c>
      <c r="S148" s="75">
        <v>42979</v>
      </c>
      <c r="T148" s="1">
        <v>0</v>
      </c>
      <c r="U148" s="1" t="s">
        <v>604</v>
      </c>
      <c r="V148" s="1" t="s">
        <v>27</v>
      </c>
      <c r="W148" s="1" t="s">
        <v>1830</v>
      </c>
      <c r="X148" s="1" t="s">
        <v>45</v>
      </c>
      <c r="Y148" s="1" t="s">
        <v>1855</v>
      </c>
      <c r="Z148" s="1" t="s">
        <v>45</v>
      </c>
      <c r="AA148" s="75">
        <v>43556</v>
      </c>
      <c r="AB148" s="75">
        <v>42979</v>
      </c>
      <c r="AC148" s="88">
        <v>671000</v>
      </c>
      <c r="AD148" s="88">
        <v>26322530</v>
      </c>
    </row>
    <row r="149" spans="1:30" x14ac:dyDescent="0.4">
      <c r="A149" s="29">
        <v>146</v>
      </c>
      <c r="B149" s="29" t="str">
        <f t="shared" si="8"/>
        <v>147</v>
      </c>
      <c r="C149" s="29" t="str">
        <f t="shared" si="9"/>
        <v>C</v>
      </c>
      <c r="D149" s="29" t="str">
        <f t="shared" si="10"/>
        <v>B</v>
      </c>
      <c r="E149" s="29" t="str">
        <f t="shared" si="11"/>
        <v>F</v>
      </c>
      <c r="F149" s="1" t="s">
        <v>605</v>
      </c>
      <c r="G149" s="1" t="s">
        <v>76</v>
      </c>
      <c r="H149" s="1" t="s">
        <v>76</v>
      </c>
      <c r="I149" s="1" t="s">
        <v>19</v>
      </c>
      <c r="J149" s="1" t="s">
        <v>31</v>
      </c>
      <c r="K149" s="1" t="s">
        <v>76</v>
      </c>
      <c r="L149" s="1" t="s">
        <v>606</v>
      </c>
      <c r="M149" s="1" t="s">
        <v>22</v>
      </c>
      <c r="N149" s="1" t="s">
        <v>118</v>
      </c>
      <c r="O149" s="1" t="s">
        <v>23</v>
      </c>
      <c r="P149" s="1" t="s">
        <v>24</v>
      </c>
      <c r="Q149" s="1" t="s">
        <v>437</v>
      </c>
      <c r="R149" s="1" t="s">
        <v>607</v>
      </c>
      <c r="S149" s="75">
        <v>40817</v>
      </c>
      <c r="T149" s="1">
        <v>0</v>
      </c>
      <c r="U149" s="1"/>
      <c r="V149" s="1" t="s">
        <v>27</v>
      </c>
      <c r="W149" s="1" t="s">
        <v>1830</v>
      </c>
      <c r="X149" s="1" t="s">
        <v>1836</v>
      </c>
      <c r="Y149" s="1" t="s">
        <v>1834</v>
      </c>
      <c r="Z149" s="1" t="s">
        <v>1836</v>
      </c>
      <c r="AA149" s="75">
        <v>40848</v>
      </c>
      <c r="AB149" s="75">
        <v>45108</v>
      </c>
      <c r="AC149" s="88">
        <v>570000</v>
      </c>
      <c r="AD149" s="88">
        <v>33500000</v>
      </c>
    </row>
    <row r="150" spans="1:30" x14ac:dyDescent="0.4">
      <c r="A150" s="29">
        <v>147</v>
      </c>
      <c r="B150" s="29" t="str">
        <f t="shared" si="8"/>
        <v>148</v>
      </c>
      <c r="C150" s="29" t="str">
        <f t="shared" si="9"/>
        <v>D</v>
      </c>
      <c r="D150" s="29" t="str">
        <f t="shared" si="10"/>
        <v>B</v>
      </c>
      <c r="E150" s="29" t="str">
        <f t="shared" si="11"/>
        <v>F</v>
      </c>
      <c r="F150" s="1" t="s">
        <v>608</v>
      </c>
      <c r="G150" s="1" t="s">
        <v>388</v>
      </c>
      <c r="H150" s="1" t="s">
        <v>1694</v>
      </c>
      <c r="I150" s="1" t="s">
        <v>19</v>
      </c>
      <c r="J150" s="1" t="s">
        <v>31</v>
      </c>
      <c r="K150" s="1" t="s">
        <v>388</v>
      </c>
      <c r="L150" s="1" t="s">
        <v>609</v>
      </c>
      <c r="M150" s="1" t="s">
        <v>22</v>
      </c>
      <c r="N150" s="1" t="s">
        <v>118</v>
      </c>
      <c r="O150" s="1" t="s">
        <v>33</v>
      </c>
      <c r="P150" s="1" t="s">
        <v>41</v>
      </c>
      <c r="Q150" s="1" t="s">
        <v>560</v>
      </c>
      <c r="R150" s="1" t="s">
        <v>610</v>
      </c>
      <c r="S150" s="75">
        <v>40817</v>
      </c>
      <c r="T150" s="1">
        <v>0</v>
      </c>
      <c r="U150" s="1"/>
      <c r="V150" s="1" t="s">
        <v>27</v>
      </c>
      <c r="W150" s="1" t="s">
        <v>1851</v>
      </c>
      <c r="X150" s="1" t="s">
        <v>45</v>
      </c>
      <c r="Y150" s="1"/>
      <c r="Z150" s="1" t="s">
        <v>45</v>
      </c>
      <c r="AA150" s="75">
        <v>40817</v>
      </c>
      <c r="AB150" s="75">
        <v>45336</v>
      </c>
      <c r="AC150" s="88">
        <v>700000</v>
      </c>
      <c r="AD150" s="88">
        <v>28384000</v>
      </c>
    </row>
    <row r="151" spans="1:30" x14ac:dyDescent="0.4">
      <c r="A151" s="29">
        <v>148</v>
      </c>
      <c r="B151" s="29" t="str">
        <f t="shared" si="8"/>
        <v>149</v>
      </c>
      <c r="C151" s="29" t="str">
        <f t="shared" si="9"/>
        <v>S</v>
      </c>
      <c r="D151" s="29" t="str">
        <f t="shared" si="10"/>
        <v>B</v>
      </c>
      <c r="E151" s="29" t="str">
        <f t="shared" si="11"/>
        <v>T</v>
      </c>
      <c r="F151" s="1" t="s">
        <v>611</v>
      </c>
      <c r="G151" s="1" t="s">
        <v>1836</v>
      </c>
      <c r="H151" s="1" t="s">
        <v>1693</v>
      </c>
      <c r="I151" s="1" t="s">
        <v>736</v>
      </c>
      <c r="J151" s="1" t="s">
        <v>31</v>
      </c>
      <c r="K151" s="1" t="s">
        <v>1707</v>
      </c>
      <c r="L151" s="1" t="s">
        <v>612</v>
      </c>
      <c r="M151" s="1" t="s">
        <v>22</v>
      </c>
      <c r="N151" s="1" t="s">
        <v>1876</v>
      </c>
      <c r="O151" s="1" t="s">
        <v>55</v>
      </c>
      <c r="P151" s="1" t="s">
        <v>613</v>
      </c>
      <c r="Q151" s="1" t="s">
        <v>614</v>
      </c>
      <c r="R151" s="1" t="s">
        <v>615</v>
      </c>
      <c r="S151" s="75">
        <v>42856</v>
      </c>
      <c r="T151" s="1">
        <v>0</v>
      </c>
      <c r="U151" s="1"/>
      <c r="V151" s="1" t="s">
        <v>36</v>
      </c>
      <c r="W151" s="1"/>
      <c r="X151" s="1"/>
      <c r="Y151" s="1"/>
      <c r="Z151" s="1" t="s">
        <v>45</v>
      </c>
      <c r="AA151" s="75">
        <v>42856</v>
      </c>
      <c r="AB151" s="75">
        <v>45597</v>
      </c>
      <c r="AC151" s="88">
        <v>0</v>
      </c>
      <c r="AD151" s="88">
        <v>8000000</v>
      </c>
    </row>
    <row r="152" spans="1:30" x14ac:dyDescent="0.4">
      <c r="A152" s="29">
        <v>149</v>
      </c>
      <c r="B152" s="29" t="str">
        <f t="shared" si="8"/>
        <v>150</v>
      </c>
      <c r="C152" s="29" t="str">
        <f t="shared" si="9"/>
        <v>S</v>
      </c>
      <c r="D152" s="29" t="str">
        <f t="shared" si="10"/>
        <v>B</v>
      </c>
      <c r="E152" s="29" t="str">
        <f t="shared" si="11"/>
        <v>T</v>
      </c>
      <c r="F152" s="1" t="s">
        <v>616</v>
      </c>
      <c r="G152" s="1" t="s">
        <v>486</v>
      </c>
      <c r="H152" s="1" t="s">
        <v>45</v>
      </c>
      <c r="I152" s="1" t="s">
        <v>19</v>
      </c>
      <c r="J152" s="1" t="s">
        <v>39</v>
      </c>
      <c r="K152" s="1" t="s">
        <v>617</v>
      </c>
      <c r="L152" s="1" t="s">
        <v>618</v>
      </c>
      <c r="M152" s="1" t="s">
        <v>22</v>
      </c>
      <c r="N152" s="1" t="s">
        <v>1876</v>
      </c>
      <c r="O152" s="1" t="s">
        <v>55</v>
      </c>
      <c r="P152" s="1" t="s">
        <v>613</v>
      </c>
      <c r="Q152" s="1" t="s">
        <v>619</v>
      </c>
      <c r="R152" s="1" t="s">
        <v>620</v>
      </c>
      <c r="S152" s="75">
        <v>42856</v>
      </c>
      <c r="T152" s="1">
        <v>0</v>
      </c>
      <c r="U152" s="1"/>
      <c r="V152" s="1" t="s">
        <v>36</v>
      </c>
      <c r="W152" s="1"/>
      <c r="X152" s="1"/>
      <c r="Y152" s="1"/>
      <c r="Z152" s="1" t="s">
        <v>45</v>
      </c>
      <c r="AA152" s="75">
        <v>42856</v>
      </c>
      <c r="AB152" s="75">
        <v>42856</v>
      </c>
      <c r="AC152" s="88">
        <v>300000</v>
      </c>
      <c r="AD152" s="88">
        <v>8000000</v>
      </c>
    </row>
    <row r="153" spans="1:30" x14ac:dyDescent="0.4">
      <c r="A153" s="29">
        <v>150</v>
      </c>
      <c r="B153" s="29" t="str">
        <f t="shared" si="8"/>
        <v>151</v>
      </c>
      <c r="C153" s="29" t="str">
        <f t="shared" si="9"/>
        <v>S</v>
      </c>
      <c r="D153" s="29" t="str">
        <f t="shared" si="10"/>
        <v>B</v>
      </c>
      <c r="E153" s="29" t="str">
        <f t="shared" si="11"/>
        <v>T</v>
      </c>
      <c r="F153" s="1" t="s">
        <v>621</v>
      </c>
      <c r="G153" s="1" t="s">
        <v>486</v>
      </c>
      <c r="H153" s="1" t="s">
        <v>45</v>
      </c>
      <c r="I153" s="1" t="s">
        <v>19</v>
      </c>
      <c r="J153" s="1" t="s">
        <v>39</v>
      </c>
      <c r="K153" s="1" t="s">
        <v>622</v>
      </c>
      <c r="L153" s="1" t="s">
        <v>623</v>
      </c>
      <c r="M153" s="1" t="s">
        <v>22</v>
      </c>
      <c r="N153" s="1" t="s">
        <v>1876</v>
      </c>
      <c r="O153" s="1" t="s">
        <v>55</v>
      </c>
      <c r="P153" s="1" t="s">
        <v>613</v>
      </c>
      <c r="Q153" s="1" t="s">
        <v>619</v>
      </c>
      <c r="R153" s="1" t="s">
        <v>624</v>
      </c>
      <c r="S153" s="75">
        <v>42856</v>
      </c>
      <c r="T153" s="1">
        <v>0</v>
      </c>
      <c r="U153" s="1"/>
      <c r="V153" s="1" t="s">
        <v>36</v>
      </c>
      <c r="W153" s="1"/>
      <c r="X153" s="1"/>
      <c r="Y153" s="1"/>
      <c r="Z153" s="1" t="s">
        <v>45</v>
      </c>
      <c r="AA153" s="75">
        <v>42856</v>
      </c>
      <c r="AB153" s="75">
        <v>42856</v>
      </c>
      <c r="AC153" s="88">
        <v>300000</v>
      </c>
      <c r="AD153" s="88">
        <v>8000000</v>
      </c>
    </row>
    <row r="154" spans="1:30" x14ac:dyDescent="0.4">
      <c r="A154" s="29">
        <v>151</v>
      </c>
      <c r="B154" s="29" t="str">
        <f t="shared" si="8"/>
        <v>152</v>
      </c>
      <c r="C154" s="29" t="str">
        <f t="shared" si="9"/>
        <v>S</v>
      </c>
      <c r="D154" s="29" t="str">
        <f t="shared" si="10"/>
        <v>B</v>
      </c>
      <c r="E154" s="29" t="str">
        <f t="shared" si="11"/>
        <v>T</v>
      </c>
      <c r="F154" s="1" t="s">
        <v>625</v>
      </c>
      <c r="G154" s="1" t="s">
        <v>486</v>
      </c>
      <c r="H154" s="1" t="s">
        <v>45</v>
      </c>
      <c r="I154" s="1" t="s">
        <v>19</v>
      </c>
      <c r="J154" s="1" t="s">
        <v>39</v>
      </c>
      <c r="K154" s="1" t="s">
        <v>617</v>
      </c>
      <c r="L154" s="1" t="s">
        <v>626</v>
      </c>
      <c r="M154" s="1" t="s">
        <v>22</v>
      </c>
      <c r="N154" s="1" t="s">
        <v>1876</v>
      </c>
      <c r="O154" s="1" t="s">
        <v>55</v>
      </c>
      <c r="P154" s="1" t="s">
        <v>613</v>
      </c>
      <c r="Q154" s="1" t="s">
        <v>619</v>
      </c>
      <c r="R154" s="1" t="s">
        <v>627</v>
      </c>
      <c r="S154" s="75">
        <v>42856</v>
      </c>
      <c r="T154" s="1">
        <v>0</v>
      </c>
      <c r="U154" s="1"/>
      <c r="V154" s="1" t="s">
        <v>36</v>
      </c>
      <c r="W154" s="1"/>
      <c r="X154" s="1"/>
      <c r="Y154" s="1"/>
      <c r="Z154" s="1" t="s">
        <v>45</v>
      </c>
      <c r="AA154" s="75">
        <v>42856</v>
      </c>
      <c r="AB154" s="75">
        <v>42856</v>
      </c>
      <c r="AC154" s="88">
        <v>311000</v>
      </c>
      <c r="AD154" s="88">
        <v>8000000</v>
      </c>
    </row>
    <row r="155" spans="1:30" x14ac:dyDescent="0.4">
      <c r="A155" s="29">
        <v>152</v>
      </c>
      <c r="B155" s="29" t="str">
        <f t="shared" si="8"/>
        <v>153</v>
      </c>
      <c r="C155" s="29" t="str">
        <f t="shared" si="9"/>
        <v>S</v>
      </c>
      <c r="D155" s="29" t="str">
        <f t="shared" si="10"/>
        <v>B</v>
      </c>
      <c r="E155" s="29" t="str">
        <f t="shared" si="11"/>
        <v>T</v>
      </c>
      <c r="F155" s="1" t="s">
        <v>628</v>
      </c>
      <c r="G155" s="1" t="s">
        <v>486</v>
      </c>
      <c r="H155" s="1" t="s">
        <v>45</v>
      </c>
      <c r="I155" s="1" t="s">
        <v>19</v>
      </c>
      <c r="J155" s="1" t="s">
        <v>39</v>
      </c>
      <c r="K155" s="1" t="s">
        <v>617</v>
      </c>
      <c r="L155" s="1" t="s">
        <v>629</v>
      </c>
      <c r="M155" s="1" t="s">
        <v>22</v>
      </c>
      <c r="N155" s="1" t="s">
        <v>1876</v>
      </c>
      <c r="O155" s="1" t="s">
        <v>55</v>
      </c>
      <c r="P155" s="1" t="s">
        <v>613</v>
      </c>
      <c r="Q155" s="1" t="s">
        <v>619</v>
      </c>
      <c r="R155" s="1" t="s">
        <v>630</v>
      </c>
      <c r="S155" s="75">
        <v>43647</v>
      </c>
      <c r="T155" s="1">
        <v>0</v>
      </c>
      <c r="U155" s="1"/>
      <c r="V155" s="1" t="s">
        <v>36</v>
      </c>
      <c r="W155" s="1"/>
      <c r="X155" s="1"/>
      <c r="Y155" s="1"/>
      <c r="Z155" s="1" t="s">
        <v>45</v>
      </c>
      <c r="AA155" s="75">
        <v>43647</v>
      </c>
      <c r="AB155" s="75">
        <v>43647</v>
      </c>
      <c r="AC155" s="88">
        <v>300000</v>
      </c>
      <c r="AD155" s="88">
        <v>8000000</v>
      </c>
    </row>
    <row r="156" spans="1:30" ht="17.399999999999999" customHeight="1" x14ac:dyDescent="0.4">
      <c r="A156" s="29">
        <v>153</v>
      </c>
      <c r="B156" s="29" t="str">
        <f t="shared" si="8"/>
        <v>154</v>
      </c>
      <c r="C156" s="29" t="str">
        <f t="shared" si="9"/>
        <v>D</v>
      </c>
      <c r="D156" s="29" t="str">
        <f t="shared" si="10"/>
        <v>O</v>
      </c>
      <c r="E156" s="29" t="str">
        <f t="shared" si="11"/>
        <v>F</v>
      </c>
      <c r="F156" s="1" t="s">
        <v>631</v>
      </c>
      <c r="G156" s="1" t="s">
        <v>1836</v>
      </c>
      <c r="H156" s="1" t="s">
        <v>1693</v>
      </c>
      <c r="I156" s="1" t="s">
        <v>736</v>
      </c>
      <c r="J156" s="1" t="s">
        <v>31</v>
      </c>
      <c r="K156" s="1" t="s">
        <v>2034</v>
      </c>
      <c r="L156" s="1" t="s">
        <v>632</v>
      </c>
      <c r="M156" s="1" t="s">
        <v>22</v>
      </c>
      <c r="N156" s="1" t="s">
        <v>118</v>
      </c>
      <c r="O156" s="1" t="s">
        <v>23</v>
      </c>
      <c r="P156" s="1" t="s">
        <v>41</v>
      </c>
      <c r="Q156" s="1" t="s">
        <v>86</v>
      </c>
      <c r="R156" s="1" t="s">
        <v>633</v>
      </c>
      <c r="S156" s="75">
        <v>40817</v>
      </c>
      <c r="T156" s="1">
        <v>0</v>
      </c>
      <c r="U156" s="1" t="s">
        <v>634</v>
      </c>
      <c r="V156" s="1" t="s">
        <v>27</v>
      </c>
      <c r="W156" s="1" t="s">
        <v>1830</v>
      </c>
      <c r="X156" s="1" t="s">
        <v>45</v>
      </c>
      <c r="Y156" s="1" t="s">
        <v>1837</v>
      </c>
      <c r="Z156" s="1" t="s">
        <v>45</v>
      </c>
      <c r="AA156" s="75">
        <v>40817</v>
      </c>
      <c r="AB156" s="75">
        <v>46113</v>
      </c>
      <c r="AC156" s="88">
        <v>0</v>
      </c>
      <c r="AD156" s="88">
        <v>29510000</v>
      </c>
    </row>
    <row r="157" spans="1:30" ht="17.399999999999999" customHeight="1" x14ac:dyDescent="0.4">
      <c r="A157" s="29">
        <v>154</v>
      </c>
      <c r="B157" s="29" t="str">
        <f t="shared" si="8"/>
        <v>155</v>
      </c>
      <c r="C157" s="29" t="str">
        <f t="shared" si="9"/>
        <v>E</v>
      </c>
      <c r="D157" s="29" t="str">
        <f t="shared" si="10"/>
        <v>B</v>
      </c>
      <c r="E157" s="29" t="str">
        <f t="shared" si="11"/>
        <v>H</v>
      </c>
      <c r="F157" s="1" t="s">
        <v>1900</v>
      </c>
      <c r="G157" s="1" t="s">
        <v>486</v>
      </c>
      <c r="H157" s="1" t="s">
        <v>45</v>
      </c>
      <c r="I157" s="1" t="s">
        <v>19</v>
      </c>
      <c r="J157" s="1" t="s">
        <v>39</v>
      </c>
      <c r="K157" s="1" t="s">
        <v>635</v>
      </c>
      <c r="L157" s="1" t="s">
        <v>636</v>
      </c>
      <c r="M157" s="1" t="s">
        <v>22</v>
      </c>
      <c r="N157" s="1" t="s">
        <v>1886</v>
      </c>
      <c r="O157" s="1" t="s">
        <v>129</v>
      </c>
      <c r="P157" s="1" t="s">
        <v>526</v>
      </c>
      <c r="Q157" s="1" t="s">
        <v>527</v>
      </c>
      <c r="R157" s="1" t="s">
        <v>637</v>
      </c>
      <c r="S157" s="75">
        <v>44835</v>
      </c>
      <c r="T157" s="1">
        <v>0</v>
      </c>
      <c r="U157" s="1"/>
      <c r="V157" s="1" t="s">
        <v>36</v>
      </c>
      <c r="W157" s="1"/>
      <c r="X157" s="1"/>
      <c r="Y157" s="1"/>
      <c r="Z157" s="1" t="s">
        <v>45</v>
      </c>
      <c r="AA157" s="75">
        <v>44835</v>
      </c>
      <c r="AB157" s="75">
        <v>44835</v>
      </c>
      <c r="AC157" s="88">
        <v>590000</v>
      </c>
      <c r="AD157" s="88">
        <v>15000000</v>
      </c>
    </row>
    <row r="158" spans="1:30" x14ac:dyDescent="0.4">
      <c r="A158" s="29">
        <v>155</v>
      </c>
      <c r="B158" s="29" t="str">
        <f t="shared" si="8"/>
        <v>156</v>
      </c>
      <c r="C158" s="29" t="str">
        <f t="shared" si="9"/>
        <v>C</v>
      </c>
      <c r="D158" s="29" t="str">
        <f t="shared" si="10"/>
        <v>B</v>
      </c>
      <c r="E158" s="29" t="str">
        <f t="shared" si="11"/>
        <v>F</v>
      </c>
      <c r="F158" s="1" t="s">
        <v>638</v>
      </c>
      <c r="G158" s="1" t="s">
        <v>76</v>
      </c>
      <c r="H158" s="1" t="s">
        <v>76</v>
      </c>
      <c r="I158" s="1" t="s">
        <v>19</v>
      </c>
      <c r="J158" s="1" t="s">
        <v>31</v>
      </c>
      <c r="K158" s="1" t="s">
        <v>76</v>
      </c>
      <c r="L158" s="1" t="s">
        <v>639</v>
      </c>
      <c r="M158" s="1" t="s">
        <v>22</v>
      </c>
      <c r="N158" s="1" t="s">
        <v>118</v>
      </c>
      <c r="O158" s="1" t="s">
        <v>33</v>
      </c>
      <c r="P158" s="1" t="s">
        <v>24</v>
      </c>
      <c r="Q158" s="1" t="s">
        <v>34</v>
      </c>
      <c r="R158" s="1" t="s">
        <v>640</v>
      </c>
      <c r="S158" s="75">
        <v>42036</v>
      </c>
      <c r="T158" s="1">
        <v>0</v>
      </c>
      <c r="U158" s="1"/>
      <c r="V158" s="1" t="s">
        <v>36</v>
      </c>
      <c r="W158" s="1"/>
      <c r="X158" s="1"/>
      <c r="Y158" s="1"/>
      <c r="Z158" s="1" t="s">
        <v>1836</v>
      </c>
      <c r="AA158" s="75">
        <v>42217</v>
      </c>
      <c r="AB158" s="75">
        <v>45108</v>
      </c>
      <c r="AC158" s="88">
        <v>490000</v>
      </c>
      <c r="AD158" s="88">
        <v>28360000</v>
      </c>
    </row>
    <row r="159" spans="1:30" x14ac:dyDescent="0.4">
      <c r="A159" s="29">
        <v>156</v>
      </c>
      <c r="B159" s="29" t="str">
        <f t="shared" si="8"/>
        <v>157</v>
      </c>
      <c r="C159" s="29" t="str">
        <f t="shared" si="9"/>
        <v>C</v>
      </c>
      <c r="D159" s="29" t="str">
        <f t="shared" si="10"/>
        <v>B</v>
      </c>
      <c r="E159" s="29" t="str">
        <f t="shared" si="11"/>
        <v>F</v>
      </c>
      <c r="F159" s="1" t="s">
        <v>1738</v>
      </c>
      <c r="G159" s="1" t="s">
        <v>76</v>
      </c>
      <c r="H159" s="1" t="s">
        <v>76</v>
      </c>
      <c r="I159" s="1" t="s">
        <v>19</v>
      </c>
      <c r="J159" s="1" t="s">
        <v>31</v>
      </c>
      <c r="K159" s="1" t="s">
        <v>76</v>
      </c>
      <c r="L159" s="1" t="s">
        <v>641</v>
      </c>
      <c r="M159" s="1" t="s">
        <v>22</v>
      </c>
      <c r="N159" s="1" t="s">
        <v>118</v>
      </c>
      <c r="O159" s="1" t="s">
        <v>33</v>
      </c>
      <c r="P159" s="1" t="s">
        <v>24</v>
      </c>
      <c r="Q159" s="1" t="s">
        <v>34</v>
      </c>
      <c r="R159" s="1" t="s">
        <v>642</v>
      </c>
      <c r="S159" s="75">
        <v>42036</v>
      </c>
      <c r="T159" s="1">
        <v>0</v>
      </c>
      <c r="U159" s="1"/>
      <c r="V159" s="1" t="s">
        <v>36</v>
      </c>
      <c r="W159" s="1"/>
      <c r="X159" s="1"/>
      <c r="Y159" s="1"/>
      <c r="Z159" s="1" t="s">
        <v>1836</v>
      </c>
      <c r="AA159" s="75">
        <v>42125</v>
      </c>
      <c r="AB159" s="75">
        <v>45108</v>
      </c>
      <c r="AC159" s="88">
        <v>490000</v>
      </c>
      <c r="AD159" s="88">
        <v>28360000</v>
      </c>
    </row>
    <row r="160" spans="1:30" x14ac:dyDescent="0.4">
      <c r="A160" s="29">
        <v>157</v>
      </c>
      <c r="B160" s="29" t="str">
        <f t="shared" si="8"/>
        <v>158</v>
      </c>
      <c r="C160" s="29" t="str">
        <f t="shared" si="9"/>
        <v>C</v>
      </c>
      <c r="D160" s="29" t="str">
        <f t="shared" si="10"/>
        <v>B</v>
      </c>
      <c r="E160" s="29" t="str">
        <f t="shared" si="11"/>
        <v>F</v>
      </c>
      <c r="F160" s="1" t="s">
        <v>643</v>
      </c>
      <c r="G160" s="1" t="s">
        <v>76</v>
      </c>
      <c r="H160" s="1" t="s">
        <v>76</v>
      </c>
      <c r="I160" s="1" t="s">
        <v>19</v>
      </c>
      <c r="J160" s="1" t="s">
        <v>31</v>
      </c>
      <c r="K160" s="1" t="s">
        <v>1365</v>
      </c>
      <c r="L160" s="1" t="s">
        <v>644</v>
      </c>
      <c r="M160" s="1" t="s">
        <v>22</v>
      </c>
      <c r="N160" s="1" t="s">
        <v>118</v>
      </c>
      <c r="O160" s="1" t="s">
        <v>33</v>
      </c>
      <c r="P160" s="1" t="s">
        <v>24</v>
      </c>
      <c r="Q160" s="1" t="s">
        <v>34</v>
      </c>
      <c r="R160" s="1" t="s">
        <v>645</v>
      </c>
      <c r="S160" s="75">
        <v>42036</v>
      </c>
      <c r="T160" s="1">
        <v>0</v>
      </c>
      <c r="U160" s="1"/>
      <c r="V160" s="1" t="s">
        <v>36</v>
      </c>
      <c r="W160" s="1"/>
      <c r="X160" s="1"/>
      <c r="Y160" s="1"/>
      <c r="Z160" s="1" t="s">
        <v>1836</v>
      </c>
      <c r="AA160" s="75">
        <v>42217</v>
      </c>
      <c r="AB160" s="75">
        <v>45108</v>
      </c>
      <c r="AC160" s="88">
        <v>490000</v>
      </c>
      <c r="AD160" s="88">
        <v>28360000</v>
      </c>
    </row>
    <row r="161" spans="1:30" ht="17.399999999999999" customHeight="1" x14ac:dyDescent="0.4">
      <c r="A161" s="29">
        <v>158</v>
      </c>
      <c r="B161" s="29" t="str">
        <f t="shared" si="8"/>
        <v>159</v>
      </c>
      <c r="C161" s="29" t="str">
        <f t="shared" si="9"/>
        <v>C</v>
      </c>
      <c r="D161" s="29" t="str">
        <f t="shared" si="10"/>
        <v>B</v>
      </c>
      <c r="E161" s="29" t="str">
        <f t="shared" si="11"/>
        <v>F</v>
      </c>
      <c r="F161" s="1" t="s">
        <v>646</v>
      </c>
      <c r="G161" s="1" t="s">
        <v>47</v>
      </c>
      <c r="H161" s="1" t="s">
        <v>1692</v>
      </c>
      <c r="I161" s="1" t="s">
        <v>19</v>
      </c>
      <c r="J161" s="1" t="s">
        <v>487</v>
      </c>
      <c r="K161" s="1" t="s">
        <v>48</v>
      </c>
      <c r="L161" s="1" t="s">
        <v>647</v>
      </c>
      <c r="M161" s="1" t="s">
        <v>22</v>
      </c>
      <c r="N161" s="1" t="s">
        <v>81</v>
      </c>
      <c r="O161" s="1" t="s">
        <v>55</v>
      </c>
      <c r="P161" s="1" t="s">
        <v>24</v>
      </c>
      <c r="Q161" s="1"/>
      <c r="R161" s="1" t="s">
        <v>648</v>
      </c>
      <c r="S161" s="75">
        <v>42005</v>
      </c>
      <c r="T161" s="1">
        <v>0</v>
      </c>
      <c r="U161" s="1"/>
      <c r="V161" s="1" t="s">
        <v>27</v>
      </c>
      <c r="W161" s="1" t="s">
        <v>1830</v>
      </c>
      <c r="X161" s="1" t="s">
        <v>1836</v>
      </c>
      <c r="Y161" s="1" t="s">
        <v>1901</v>
      </c>
      <c r="Z161" s="1" t="s">
        <v>1836</v>
      </c>
      <c r="AA161" s="75">
        <v>42217</v>
      </c>
      <c r="AB161" s="75">
        <v>45615</v>
      </c>
      <c r="AC161" s="88">
        <v>700000</v>
      </c>
      <c r="AD161" s="88">
        <v>23370000</v>
      </c>
    </row>
    <row r="162" spans="1:30" x14ac:dyDescent="0.4">
      <c r="A162" s="29">
        <v>159</v>
      </c>
      <c r="B162" s="29" t="str">
        <f t="shared" si="8"/>
        <v>160</v>
      </c>
      <c r="C162" s="29" t="str">
        <f t="shared" si="9"/>
        <v>C</v>
      </c>
      <c r="D162" s="29" t="str">
        <f t="shared" si="10"/>
        <v>B</v>
      </c>
      <c r="E162" s="29" t="str">
        <f t="shared" si="11"/>
        <v>F</v>
      </c>
      <c r="F162" s="1" t="s">
        <v>649</v>
      </c>
      <c r="G162" s="1" t="s">
        <v>550</v>
      </c>
      <c r="H162" s="1" t="s">
        <v>550</v>
      </c>
      <c r="I162" s="1" t="s">
        <v>19</v>
      </c>
      <c r="J162" s="1" t="s">
        <v>31</v>
      </c>
      <c r="K162" s="1" t="s">
        <v>550</v>
      </c>
      <c r="L162" s="1" t="s">
        <v>650</v>
      </c>
      <c r="M162" s="1" t="s">
        <v>22</v>
      </c>
      <c r="N162" s="1" t="s">
        <v>118</v>
      </c>
      <c r="O162" s="1" t="s">
        <v>33</v>
      </c>
      <c r="P162" s="1" t="s">
        <v>24</v>
      </c>
      <c r="Q162" s="1"/>
      <c r="R162" s="1" t="s">
        <v>651</v>
      </c>
      <c r="S162" s="75">
        <v>39569</v>
      </c>
      <c r="T162" s="1">
        <v>0</v>
      </c>
      <c r="U162" s="1"/>
      <c r="V162" s="1" t="s">
        <v>36</v>
      </c>
      <c r="W162" s="1"/>
      <c r="X162" s="1"/>
      <c r="Y162" s="1"/>
      <c r="Z162" s="1" t="s">
        <v>1836</v>
      </c>
      <c r="AA162" s="75">
        <v>39569</v>
      </c>
      <c r="AB162" s="75">
        <v>45474</v>
      </c>
      <c r="AC162" s="88">
        <v>580000</v>
      </c>
      <c r="AD162" s="88">
        <v>20700000</v>
      </c>
    </row>
    <row r="163" spans="1:30" x14ac:dyDescent="0.4">
      <c r="A163" s="29">
        <v>160</v>
      </c>
      <c r="B163" s="29" t="str">
        <f t="shared" si="8"/>
        <v>161</v>
      </c>
      <c r="C163" s="29" t="str">
        <f t="shared" si="9"/>
        <v>C</v>
      </c>
      <c r="D163" s="29" t="str">
        <f t="shared" si="10"/>
        <v>B</v>
      </c>
      <c r="E163" s="29" t="str">
        <f t="shared" si="11"/>
        <v>F</v>
      </c>
      <c r="F163" s="1" t="s">
        <v>652</v>
      </c>
      <c r="G163" s="1" t="s">
        <v>392</v>
      </c>
      <c r="H163" s="1" t="s">
        <v>392</v>
      </c>
      <c r="I163" s="1" t="s">
        <v>19</v>
      </c>
      <c r="J163" s="1" t="s">
        <v>1362</v>
      </c>
      <c r="K163" s="1" t="s">
        <v>392</v>
      </c>
      <c r="L163" s="1" t="s">
        <v>653</v>
      </c>
      <c r="M163" s="1" t="s">
        <v>220</v>
      </c>
      <c r="N163" s="1" t="s">
        <v>118</v>
      </c>
      <c r="O163" s="1" t="s">
        <v>33</v>
      </c>
      <c r="P163" s="1" t="s">
        <v>24</v>
      </c>
      <c r="Q163" s="1"/>
      <c r="R163" s="1" t="s">
        <v>654</v>
      </c>
      <c r="S163" s="75">
        <v>40238</v>
      </c>
      <c r="T163" s="1">
        <v>0</v>
      </c>
      <c r="U163" s="1"/>
      <c r="V163" s="1" t="s">
        <v>36</v>
      </c>
      <c r="W163" s="1"/>
      <c r="X163" s="1"/>
      <c r="Y163" s="1"/>
      <c r="Z163" s="1" t="s">
        <v>1836</v>
      </c>
      <c r="AA163" s="75">
        <v>40238</v>
      </c>
      <c r="AB163" s="75">
        <v>45474</v>
      </c>
      <c r="AC163" s="88">
        <v>530000</v>
      </c>
      <c r="AD163" s="88">
        <v>25640000</v>
      </c>
    </row>
    <row r="164" spans="1:30" x14ac:dyDescent="0.4">
      <c r="A164" s="29">
        <v>161</v>
      </c>
      <c r="B164" s="29" t="str">
        <f t="shared" si="8"/>
        <v>162</v>
      </c>
      <c r="C164" s="29" t="str">
        <f t="shared" si="9"/>
        <v>C</v>
      </c>
      <c r="D164" s="29" t="str">
        <f t="shared" si="10"/>
        <v>B</v>
      </c>
      <c r="E164" s="29" t="str">
        <f t="shared" si="11"/>
        <v>F</v>
      </c>
      <c r="F164" s="1" t="s">
        <v>655</v>
      </c>
      <c r="G164" s="1" t="s">
        <v>656</v>
      </c>
      <c r="H164" s="1" t="s">
        <v>359</v>
      </c>
      <c r="I164" s="1" t="s">
        <v>19</v>
      </c>
      <c r="J164" s="1" t="s">
        <v>31</v>
      </c>
      <c r="K164" s="1" t="s">
        <v>1902</v>
      </c>
      <c r="L164" s="1" t="s">
        <v>657</v>
      </c>
      <c r="M164" s="1" t="s">
        <v>22</v>
      </c>
      <c r="N164" s="1" t="s">
        <v>118</v>
      </c>
      <c r="O164" s="1" t="s">
        <v>23</v>
      </c>
      <c r="P164" s="1" t="s">
        <v>24</v>
      </c>
      <c r="Q164" s="1"/>
      <c r="R164" s="1" t="s">
        <v>658</v>
      </c>
      <c r="S164" s="75">
        <v>39630</v>
      </c>
      <c r="T164" s="1">
        <v>0</v>
      </c>
      <c r="U164" s="1"/>
      <c r="V164" s="1" t="s">
        <v>36</v>
      </c>
      <c r="W164" s="1"/>
      <c r="X164" s="1"/>
      <c r="Y164" s="1"/>
      <c r="Z164" s="1" t="s">
        <v>1836</v>
      </c>
      <c r="AA164" s="75">
        <v>39630</v>
      </c>
      <c r="AB164" s="75">
        <v>45474</v>
      </c>
      <c r="AC164" s="88">
        <v>500000</v>
      </c>
      <c r="AD164" s="88">
        <v>23400000</v>
      </c>
    </row>
    <row r="165" spans="1:30" x14ac:dyDescent="0.4">
      <c r="A165" s="29">
        <v>162</v>
      </c>
      <c r="B165" s="29" t="str">
        <f t="shared" si="8"/>
        <v>163</v>
      </c>
      <c r="C165" s="29" t="str">
        <f t="shared" si="9"/>
        <v>E</v>
      </c>
      <c r="D165" s="29" t="str">
        <f t="shared" si="10"/>
        <v>B</v>
      </c>
      <c r="E165" s="29" t="str">
        <f t="shared" si="11"/>
        <v>S</v>
      </c>
      <c r="F165" s="1" t="s">
        <v>1903</v>
      </c>
      <c r="G165" s="1" t="s">
        <v>429</v>
      </c>
      <c r="H165" s="1" t="s">
        <v>1695</v>
      </c>
      <c r="I165" s="1" t="s">
        <v>19</v>
      </c>
      <c r="J165" s="1" t="s">
        <v>428</v>
      </c>
      <c r="K165" s="1" t="s">
        <v>429</v>
      </c>
      <c r="L165" s="1" t="s">
        <v>659</v>
      </c>
      <c r="M165" s="1" t="s">
        <v>22</v>
      </c>
      <c r="N165" s="1" t="s">
        <v>1904</v>
      </c>
      <c r="O165" s="1" t="s">
        <v>129</v>
      </c>
      <c r="P165" s="1" t="s">
        <v>660</v>
      </c>
      <c r="Q165" s="1" t="s">
        <v>661</v>
      </c>
      <c r="R165" s="1" t="s">
        <v>662</v>
      </c>
      <c r="S165" s="75">
        <v>43390</v>
      </c>
      <c r="T165" s="1">
        <v>0</v>
      </c>
      <c r="U165" s="1"/>
      <c r="V165" s="1" t="s">
        <v>27</v>
      </c>
      <c r="W165" s="1" t="s">
        <v>1830</v>
      </c>
      <c r="X165" s="1" t="s">
        <v>1836</v>
      </c>
      <c r="Y165" s="1" t="s">
        <v>1846</v>
      </c>
      <c r="Z165" s="1" t="s">
        <v>1836</v>
      </c>
      <c r="AA165" s="75">
        <v>44866</v>
      </c>
      <c r="AB165" s="75">
        <v>44866</v>
      </c>
      <c r="AC165" s="88">
        <v>1100000</v>
      </c>
      <c r="AD165" s="88">
        <v>20000000</v>
      </c>
    </row>
    <row r="166" spans="1:30" x14ac:dyDescent="0.4">
      <c r="A166" s="29">
        <v>163</v>
      </c>
      <c r="B166" s="29" t="str">
        <f t="shared" si="8"/>
        <v>164</v>
      </c>
      <c r="C166" s="29" t="str">
        <f t="shared" si="9"/>
        <v>E</v>
      </c>
      <c r="D166" s="29" t="str">
        <f t="shared" si="10"/>
        <v>B</v>
      </c>
      <c r="E166" s="29" t="str">
        <f t="shared" si="11"/>
        <v>S</v>
      </c>
      <c r="F166" s="1" t="s">
        <v>1905</v>
      </c>
      <c r="G166" s="1" t="s">
        <v>429</v>
      </c>
      <c r="H166" s="1" t="s">
        <v>1695</v>
      </c>
      <c r="I166" s="1" t="s">
        <v>19</v>
      </c>
      <c r="J166" s="1" t="s">
        <v>428</v>
      </c>
      <c r="K166" s="1" t="s">
        <v>429</v>
      </c>
      <c r="L166" s="1" t="s">
        <v>663</v>
      </c>
      <c r="M166" s="1" t="s">
        <v>22</v>
      </c>
      <c r="N166" s="1" t="s">
        <v>1904</v>
      </c>
      <c r="O166" s="1" t="s">
        <v>129</v>
      </c>
      <c r="P166" s="1" t="s">
        <v>660</v>
      </c>
      <c r="Q166" s="1" t="s">
        <v>661</v>
      </c>
      <c r="R166" s="1" t="s">
        <v>664</v>
      </c>
      <c r="S166" s="75">
        <v>43390</v>
      </c>
      <c r="T166" s="1">
        <v>0</v>
      </c>
      <c r="U166" s="1"/>
      <c r="V166" s="1" t="s">
        <v>27</v>
      </c>
      <c r="W166" s="1" t="s">
        <v>1830</v>
      </c>
      <c r="X166" s="1" t="s">
        <v>1836</v>
      </c>
      <c r="Y166" s="1" t="s">
        <v>1846</v>
      </c>
      <c r="Z166" s="1" t="s">
        <v>1836</v>
      </c>
      <c r="AA166" s="75">
        <v>44866</v>
      </c>
      <c r="AB166" s="75">
        <v>44875</v>
      </c>
      <c r="AC166" s="88">
        <v>1100000</v>
      </c>
      <c r="AD166" s="88">
        <v>20000000</v>
      </c>
    </row>
    <row r="167" spans="1:30" ht="17.399999999999999" customHeight="1" x14ac:dyDescent="0.4">
      <c r="A167" s="29">
        <v>164</v>
      </c>
      <c r="B167" s="29" t="str">
        <f t="shared" si="8"/>
        <v>165</v>
      </c>
      <c r="C167" s="29" t="str">
        <f t="shared" si="9"/>
        <v>D</v>
      </c>
      <c r="D167" s="29" t="str">
        <f t="shared" si="10"/>
        <v>O</v>
      </c>
      <c r="E167" s="29" t="str">
        <f t="shared" si="11"/>
        <v>F</v>
      </c>
      <c r="F167" s="1" t="s">
        <v>2028</v>
      </c>
      <c r="G167" s="1" t="s">
        <v>429</v>
      </c>
      <c r="H167" s="1" t="s">
        <v>1695</v>
      </c>
      <c r="I167" s="1" t="s">
        <v>19</v>
      </c>
      <c r="J167" s="1" t="s">
        <v>428</v>
      </c>
      <c r="K167" s="1" t="s">
        <v>429</v>
      </c>
      <c r="L167" s="1" t="s">
        <v>665</v>
      </c>
      <c r="M167" s="1" t="s">
        <v>22</v>
      </c>
      <c r="N167" s="1" t="s">
        <v>118</v>
      </c>
      <c r="O167" s="1" t="s">
        <v>23</v>
      </c>
      <c r="P167" s="1" t="s">
        <v>41</v>
      </c>
      <c r="Q167" s="1" t="s">
        <v>86</v>
      </c>
      <c r="R167" s="1" t="s">
        <v>666</v>
      </c>
      <c r="S167" s="75">
        <v>39976</v>
      </c>
      <c r="T167" s="1">
        <v>0</v>
      </c>
      <c r="U167" s="1" t="s">
        <v>667</v>
      </c>
      <c r="V167" s="1" t="s">
        <v>27</v>
      </c>
      <c r="W167" s="1" t="s">
        <v>1830</v>
      </c>
      <c r="X167" s="1" t="s">
        <v>1836</v>
      </c>
      <c r="Y167" s="1" t="s">
        <v>1846</v>
      </c>
      <c r="Z167" s="1" t="s">
        <v>1836</v>
      </c>
      <c r="AA167" s="75">
        <v>44866</v>
      </c>
      <c r="AB167" s="75">
        <v>44875</v>
      </c>
      <c r="AC167" s="88">
        <v>900000</v>
      </c>
      <c r="AD167" s="88">
        <v>2000000</v>
      </c>
    </row>
    <row r="168" spans="1:30" ht="17.399999999999999" customHeight="1" x14ac:dyDescent="0.4">
      <c r="A168" s="29">
        <v>165</v>
      </c>
      <c r="B168" s="29" t="str">
        <f t="shared" si="8"/>
        <v>166</v>
      </c>
      <c r="C168" s="29" t="str">
        <f t="shared" si="9"/>
        <v>D</v>
      </c>
      <c r="D168" s="29" t="str">
        <f t="shared" si="10"/>
        <v>O</v>
      </c>
      <c r="E168" s="29" t="str">
        <f t="shared" si="11"/>
        <v>F</v>
      </c>
      <c r="F168" s="1" t="s">
        <v>668</v>
      </c>
      <c r="G168" s="1" t="s">
        <v>218</v>
      </c>
      <c r="H168" s="1" t="s">
        <v>218</v>
      </c>
      <c r="I168" s="1" t="s">
        <v>19</v>
      </c>
      <c r="J168" s="1" t="s">
        <v>31</v>
      </c>
      <c r="K168" s="1" t="s">
        <v>218</v>
      </c>
      <c r="L168" s="1" t="s">
        <v>1783</v>
      </c>
      <c r="M168" s="1" t="s">
        <v>22</v>
      </c>
      <c r="N168" s="1" t="s">
        <v>118</v>
      </c>
      <c r="O168" s="1" t="s">
        <v>23</v>
      </c>
      <c r="P168" s="1" t="s">
        <v>41</v>
      </c>
      <c r="Q168" s="1" t="s">
        <v>1906</v>
      </c>
      <c r="R168" s="1" t="s">
        <v>1907</v>
      </c>
      <c r="S168" s="75">
        <v>39029</v>
      </c>
      <c r="T168" s="1">
        <v>0</v>
      </c>
      <c r="U168" s="1" t="s">
        <v>669</v>
      </c>
      <c r="V168" s="1" t="s">
        <v>36</v>
      </c>
      <c r="W168" s="1"/>
      <c r="X168" s="1"/>
      <c r="Y168" s="1"/>
      <c r="Z168" s="1" t="s">
        <v>1836</v>
      </c>
      <c r="AA168" s="75">
        <v>44866</v>
      </c>
      <c r="AB168" s="75">
        <v>45931</v>
      </c>
      <c r="AC168" s="88">
        <v>1150000</v>
      </c>
      <c r="AD168" s="88">
        <v>2000000</v>
      </c>
    </row>
    <row r="169" spans="1:30" ht="17.399999999999999" customHeight="1" x14ac:dyDescent="0.4">
      <c r="A169" s="29">
        <v>166</v>
      </c>
      <c r="B169" s="29" t="str">
        <f t="shared" si="8"/>
        <v>167</v>
      </c>
      <c r="C169" s="29" t="str">
        <f t="shared" si="9"/>
        <v>D</v>
      </c>
      <c r="D169" s="29" t="str">
        <f t="shared" si="10"/>
        <v>O</v>
      </c>
      <c r="E169" s="29" t="str">
        <f t="shared" si="11"/>
        <v>F</v>
      </c>
      <c r="F169" s="1" t="s">
        <v>670</v>
      </c>
      <c r="G169" s="1" t="s">
        <v>1836</v>
      </c>
      <c r="H169" s="1" t="s">
        <v>1693</v>
      </c>
      <c r="I169" s="1" t="s">
        <v>736</v>
      </c>
      <c r="J169" s="1" t="s">
        <v>31</v>
      </c>
      <c r="K169" s="1" t="s">
        <v>2034</v>
      </c>
      <c r="L169" s="1" t="s">
        <v>2060</v>
      </c>
      <c r="M169" s="1" t="s">
        <v>22</v>
      </c>
      <c r="N169" s="1" t="s">
        <v>118</v>
      </c>
      <c r="O169" s="1" t="s">
        <v>23</v>
      </c>
      <c r="P169" s="1" t="s">
        <v>41</v>
      </c>
      <c r="Q169" s="1" t="s">
        <v>1906</v>
      </c>
      <c r="R169" s="1" t="s">
        <v>1908</v>
      </c>
      <c r="S169" s="75">
        <v>37116</v>
      </c>
      <c r="T169" s="1">
        <v>0</v>
      </c>
      <c r="U169" s="1" t="s">
        <v>671</v>
      </c>
      <c r="V169" s="1" t="s">
        <v>36</v>
      </c>
      <c r="W169" s="1"/>
      <c r="X169" s="1"/>
      <c r="Y169" s="1"/>
      <c r="Z169" s="1" t="s">
        <v>1836</v>
      </c>
      <c r="AA169" s="75">
        <v>44866</v>
      </c>
      <c r="AB169" s="75">
        <v>46119</v>
      </c>
      <c r="AC169" s="88">
        <v>0</v>
      </c>
      <c r="AD169" s="88">
        <v>2000000</v>
      </c>
    </row>
    <row r="170" spans="1:30" ht="17.399999999999999" customHeight="1" x14ac:dyDescent="0.4">
      <c r="A170" s="29">
        <v>167</v>
      </c>
      <c r="B170" s="29" t="str">
        <f t="shared" si="8"/>
        <v>168</v>
      </c>
      <c r="C170" s="29" t="str">
        <f t="shared" si="9"/>
        <v>D</v>
      </c>
      <c r="D170" s="29" t="str">
        <f t="shared" si="10"/>
        <v>O</v>
      </c>
      <c r="E170" s="29" t="str">
        <f t="shared" si="11"/>
        <v>F</v>
      </c>
      <c r="F170" s="1" t="s">
        <v>672</v>
      </c>
      <c r="G170" s="1" t="s">
        <v>218</v>
      </c>
      <c r="H170" s="1" t="s">
        <v>218</v>
      </c>
      <c r="I170" s="1" t="s">
        <v>19</v>
      </c>
      <c r="J170" s="1" t="s">
        <v>31</v>
      </c>
      <c r="K170" s="1" t="s">
        <v>218</v>
      </c>
      <c r="L170" s="1" t="s">
        <v>2029</v>
      </c>
      <c r="M170" s="1" t="s">
        <v>22</v>
      </c>
      <c r="N170" s="1" t="s">
        <v>118</v>
      </c>
      <c r="O170" s="1" t="s">
        <v>23</v>
      </c>
      <c r="P170" s="1" t="s">
        <v>41</v>
      </c>
      <c r="Q170" s="1" t="s">
        <v>86</v>
      </c>
      <c r="R170" s="1" t="s">
        <v>673</v>
      </c>
      <c r="S170" s="75">
        <v>40941</v>
      </c>
      <c r="T170" s="1">
        <v>0</v>
      </c>
      <c r="U170" s="1" t="s">
        <v>2030</v>
      </c>
      <c r="V170" s="1" t="s">
        <v>36</v>
      </c>
      <c r="W170" s="1"/>
      <c r="X170" s="1"/>
      <c r="Y170" s="1"/>
      <c r="Z170" s="1" t="s">
        <v>1836</v>
      </c>
      <c r="AA170" s="75">
        <v>44875</v>
      </c>
      <c r="AB170" s="75">
        <v>46076</v>
      </c>
      <c r="AC170" s="88">
        <v>900000</v>
      </c>
      <c r="AD170" s="88">
        <v>2000000</v>
      </c>
    </row>
    <row r="171" spans="1:30" ht="17.399999999999999" customHeight="1" x14ac:dyDescent="0.4">
      <c r="A171" s="29">
        <v>168</v>
      </c>
      <c r="B171" s="29" t="str">
        <f t="shared" si="8"/>
        <v>170</v>
      </c>
      <c r="C171" s="29" t="str">
        <f t="shared" si="9"/>
        <v>C</v>
      </c>
      <c r="D171" s="29" t="str">
        <f t="shared" si="10"/>
        <v>O</v>
      </c>
      <c r="E171" s="29" t="str">
        <f t="shared" si="11"/>
        <v>F</v>
      </c>
      <c r="F171" s="1" t="s">
        <v>674</v>
      </c>
      <c r="G171" s="1" t="s">
        <v>675</v>
      </c>
      <c r="H171" s="1" t="s">
        <v>359</v>
      </c>
      <c r="I171" s="1" t="s">
        <v>19</v>
      </c>
      <c r="J171" s="1" t="s">
        <v>676</v>
      </c>
      <c r="K171" s="1" t="s">
        <v>1981</v>
      </c>
      <c r="L171" s="1" t="s">
        <v>1391</v>
      </c>
      <c r="M171" s="1" t="s">
        <v>22</v>
      </c>
      <c r="N171" s="1" t="s">
        <v>118</v>
      </c>
      <c r="O171" s="1" t="s">
        <v>345</v>
      </c>
      <c r="P171" s="1" t="s">
        <v>24</v>
      </c>
      <c r="Q171" s="1" t="s">
        <v>677</v>
      </c>
      <c r="R171" s="1" t="s">
        <v>678</v>
      </c>
      <c r="S171" s="75">
        <v>43952</v>
      </c>
      <c r="T171" s="1">
        <v>0</v>
      </c>
      <c r="U171" s="1" t="s">
        <v>679</v>
      </c>
      <c r="V171" s="1" t="s">
        <v>27</v>
      </c>
      <c r="W171" s="1" t="s">
        <v>1830</v>
      </c>
      <c r="X171" s="1" t="s">
        <v>1836</v>
      </c>
      <c r="Y171" s="1" t="s">
        <v>1856</v>
      </c>
      <c r="Z171" s="1" t="s">
        <v>1836</v>
      </c>
      <c r="AA171" s="75">
        <v>44927</v>
      </c>
      <c r="AB171" s="75">
        <v>44927</v>
      </c>
      <c r="AC171" s="88">
        <v>1400000</v>
      </c>
      <c r="AD171" s="88">
        <v>5000000</v>
      </c>
    </row>
    <row r="172" spans="1:30" ht="17.399999999999999" customHeight="1" x14ac:dyDescent="0.4">
      <c r="A172" s="29">
        <v>169</v>
      </c>
      <c r="B172" s="29" t="str">
        <f t="shared" si="8"/>
        <v>171</v>
      </c>
      <c r="C172" s="29" t="str">
        <f t="shared" si="9"/>
        <v>C</v>
      </c>
      <c r="D172" s="29" t="str">
        <f t="shared" si="10"/>
        <v>O</v>
      </c>
      <c r="E172" s="29" t="str">
        <f t="shared" si="11"/>
        <v>F</v>
      </c>
      <c r="F172" s="1" t="s">
        <v>681</v>
      </c>
      <c r="G172" s="1" t="s">
        <v>2031</v>
      </c>
      <c r="H172" s="1" t="s">
        <v>1836</v>
      </c>
      <c r="I172" s="1" t="s">
        <v>19</v>
      </c>
      <c r="J172" s="1" t="s">
        <v>1362</v>
      </c>
      <c r="K172" s="1" t="s">
        <v>2031</v>
      </c>
      <c r="L172" s="1" t="s">
        <v>2032</v>
      </c>
      <c r="M172" s="1" t="s">
        <v>22</v>
      </c>
      <c r="N172" s="1" t="s">
        <v>118</v>
      </c>
      <c r="O172" s="1" t="s">
        <v>339</v>
      </c>
      <c r="P172" s="1" t="s">
        <v>24</v>
      </c>
      <c r="Q172" s="1" t="s">
        <v>340</v>
      </c>
      <c r="R172" s="1" t="s">
        <v>682</v>
      </c>
      <c r="S172" s="75">
        <v>40179</v>
      </c>
      <c r="T172" s="1">
        <v>0</v>
      </c>
      <c r="U172" s="1" t="s">
        <v>683</v>
      </c>
      <c r="V172" s="1" t="s">
        <v>36</v>
      </c>
      <c r="W172" s="1"/>
      <c r="X172" s="1"/>
      <c r="Y172" s="1"/>
      <c r="Z172" s="1" t="s">
        <v>1836</v>
      </c>
      <c r="AA172" s="75">
        <v>44927</v>
      </c>
      <c r="AB172" s="75">
        <v>45958</v>
      </c>
      <c r="AC172" s="88">
        <v>850000</v>
      </c>
      <c r="AD172" s="88">
        <v>5000000</v>
      </c>
    </row>
    <row r="173" spans="1:30" ht="17.399999999999999" customHeight="1" x14ac:dyDescent="0.4">
      <c r="A173" s="29">
        <v>170</v>
      </c>
      <c r="B173" s="29" t="str">
        <f t="shared" si="8"/>
        <v>172</v>
      </c>
      <c r="C173" s="29" t="str">
        <f t="shared" si="9"/>
        <v>C</v>
      </c>
      <c r="D173" s="29" t="str">
        <f t="shared" si="10"/>
        <v>O</v>
      </c>
      <c r="E173" s="29" t="str">
        <f t="shared" si="11"/>
        <v>F</v>
      </c>
      <c r="F173" s="1" t="s">
        <v>684</v>
      </c>
      <c r="G173" s="1" t="s">
        <v>1836</v>
      </c>
      <c r="H173" s="1" t="s">
        <v>1693</v>
      </c>
      <c r="I173" s="1" t="s">
        <v>736</v>
      </c>
      <c r="J173" s="1" t="s">
        <v>31</v>
      </c>
      <c r="K173" s="1" t="s">
        <v>1707</v>
      </c>
      <c r="L173" s="1" t="s">
        <v>685</v>
      </c>
      <c r="M173" s="1" t="s">
        <v>22</v>
      </c>
      <c r="N173" s="1" t="s">
        <v>118</v>
      </c>
      <c r="O173" s="1" t="s">
        <v>339</v>
      </c>
      <c r="P173" s="1" t="s">
        <v>24</v>
      </c>
      <c r="Q173" s="1" t="s">
        <v>340</v>
      </c>
      <c r="R173" s="1" t="s">
        <v>686</v>
      </c>
      <c r="S173" s="75">
        <v>40544</v>
      </c>
      <c r="T173" s="1">
        <v>0</v>
      </c>
      <c r="U173" s="1" t="s">
        <v>687</v>
      </c>
      <c r="V173" s="1" t="s">
        <v>36</v>
      </c>
      <c r="W173" s="1"/>
      <c r="X173" s="1"/>
      <c r="Y173" s="1"/>
      <c r="Z173" s="1" t="s">
        <v>1836</v>
      </c>
      <c r="AA173" s="75">
        <v>44927</v>
      </c>
      <c r="AB173" s="75">
        <v>45383</v>
      </c>
      <c r="AC173" s="88">
        <v>0</v>
      </c>
      <c r="AD173" s="88">
        <v>5000000</v>
      </c>
    </row>
    <row r="174" spans="1:30" ht="17.399999999999999" customHeight="1" x14ac:dyDescent="0.4">
      <c r="A174" s="29">
        <v>171</v>
      </c>
      <c r="B174" s="29" t="str">
        <f t="shared" si="8"/>
        <v>173</v>
      </c>
      <c r="C174" s="29" t="str">
        <f t="shared" si="9"/>
        <v>C</v>
      </c>
      <c r="D174" s="29" t="str">
        <f t="shared" si="10"/>
        <v>O</v>
      </c>
      <c r="E174" s="29" t="str">
        <f t="shared" si="11"/>
        <v>F</v>
      </c>
      <c r="F174" s="1" t="s">
        <v>688</v>
      </c>
      <c r="G174" s="1" t="s">
        <v>675</v>
      </c>
      <c r="H174" s="1" t="s">
        <v>359</v>
      </c>
      <c r="I174" s="1" t="s">
        <v>19</v>
      </c>
      <c r="J174" s="1" t="s">
        <v>676</v>
      </c>
      <c r="K174" s="1" t="s">
        <v>1982</v>
      </c>
      <c r="L174" s="1" t="s">
        <v>1983</v>
      </c>
      <c r="M174" s="1" t="s">
        <v>22</v>
      </c>
      <c r="N174" s="1" t="s">
        <v>118</v>
      </c>
      <c r="O174" s="1" t="s">
        <v>317</v>
      </c>
      <c r="P174" s="1" t="s">
        <v>24</v>
      </c>
      <c r="Q174" s="1" t="s">
        <v>690</v>
      </c>
      <c r="R174" s="1" t="s">
        <v>691</v>
      </c>
      <c r="S174" s="75">
        <v>41334</v>
      </c>
      <c r="T174" s="1">
        <v>0</v>
      </c>
      <c r="U174" s="1" t="s">
        <v>692</v>
      </c>
      <c r="V174" s="1" t="s">
        <v>27</v>
      </c>
      <c r="W174" s="1" t="s">
        <v>1830</v>
      </c>
      <c r="X174" s="1" t="s">
        <v>1836</v>
      </c>
      <c r="Y174" s="1" t="s">
        <v>1856</v>
      </c>
      <c r="Z174" s="1" t="s">
        <v>1836</v>
      </c>
      <c r="AA174" s="75">
        <v>44927</v>
      </c>
      <c r="AB174" s="75">
        <v>44927</v>
      </c>
      <c r="AC174" s="88">
        <v>900000</v>
      </c>
      <c r="AD174" s="88">
        <v>5000000</v>
      </c>
    </row>
    <row r="175" spans="1:30" ht="17.399999999999999" customHeight="1" x14ac:dyDescent="0.4">
      <c r="A175" s="29">
        <v>172</v>
      </c>
      <c r="B175" s="29" t="str">
        <f t="shared" si="8"/>
        <v>174</v>
      </c>
      <c r="C175" s="29" t="str">
        <f t="shared" si="9"/>
        <v>C</v>
      </c>
      <c r="D175" s="29" t="str">
        <f t="shared" si="10"/>
        <v>O</v>
      </c>
      <c r="E175" s="29" t="str">
        <f t="shared" si="11"/>
        <v>F</v>
      </c>
      <c r="F175" s="1" t="s">
        <v>693</v>
      </c>
      <c r="G175" s="1" t="s">
        <v>675</v>
      </c>
      <c r="H175" s="1" t="s">
        <v>359</v>
      </c>
      <c r="I175" s="1" t="s">
        <v>19</v>
      </c>
      <c r="J175" s="1" t="s">
        <v>676</v>
      </c>
      <c r="K175" s="1" t="s">
        <v>1984</v>
      </c>
      <c r="L175" s="1" t="s">
        <v>1392</v>
      </c>
      <c r="M175" s="1" t="s">
        <v>22</v>
      </c>
      <c r="N175" s="1" t="s">
        <v>118</v>
      </c>
      <c r="O175" s="1" t="s">
        <v>317</v>
      </c>
      <c r="P175" s="1" t="s">
        <v>24</v>
      </c>
      <c r="Q175" s="1" t="s">
        <v>690</v>
      </c>
      <c r="R175" s="1" t="s">
        <v>694</v>
      </c>
      <c r="S175" s="75">
        <v>41426</v>
      </c>
      <c r="T175" s="1">
        <v>0</v>
      </c>
      <c r="U175" s="1" t="s">
        <v>695</v>
      </c>
      <c r="V175" s="1" t="s">
        <v>27</v>
      </c>
      <c r="W175" s="1" t="s">
        <v>1830</v>
      </c>
      <c r="X175" s="1" t="s">
        <v>1836</v>
      </c>
      <c r="Y175" s="1" t="s">
        <v>1856</v>
      </c>
      <c r="Z175" s="1" t="s">
        <v>1836</v>
      </c>
      <c r="AA175" s="75">
        <v>44927</v>
      </c>
      <c r="AB175" s="75">
        <v>44927</v>
      </c>
      <c r="AC175" s="88">
        <v>900000</v>
      </c>
      <c r="AD175" s="88">
        <v>5000000</v>
      </c>
    </row>
    <row r="176" spans="1:30" ht="17.399999999999999" customHeight="1" x14ac:dyDescent="0.4">
      <c r="A176" s="29">
        <v>173</v>
      </c>
      <c r="B176" s="29" t="str">
        <f t="shared" si="8"/>
        <v>175</v>
      </c>
      <c r="C176" s="29" t="str">
        <f t="shared" si="9"/>
        <v>C</v>
      </c>
      <c r="D176" s="29" t="str">
        <f t="shared" si="10"/>
        <v>O</v>
      </c>
      <c r="E176" s="29" t="str">
        <f t="shared" si="11"/>
        <v>F</v>
      </c>
      <c r="F176" s="1" t="s">
        <v>696</v>
      </c>
      <c r="G176" s="1" t="s">
        <v>1836</v>
      </c>
      <c r="H176" s="1" t="s">
        <v>1693</v>
      </c>
      <c r="I176" s="1" t="s">
        <v>736</v>
      </c>
      <c r="J176" s="1" t="s">
        <v>31</v>
      </c>
      <c r="K176" s="1" t="s">
        <v>675</v>
      </c>
      <c r="L176" s="1" t="s">
        <v>1711</v>
      </c>
      <c r="M176" s="1" t="s">
        <v>22</v>
      </c>
      <c r="N176" s="1" t="s">
        <v>118</v>
      </c>
      <c r="O176" s="1" t="s">
        <v>339</v>
      </c>
      <c r="P176" s="1" t="s">
        <v>24</v>
      </c>
      <c r="Q176" s="1" t="s">
        <v>340</v>
      </c>
      <c r="R176" s="1" t="s">
        <v>697</v>
      </c>
      <c r="S176" s="75">
        <v>41426</v>
      </c>
      <c r="T176" s="1">
        <v>0</v>
      </c>
      <c r="U176" s="1" t="s">
        <v>698</v>
      </c>
      <c r="V176" s="1" t="s">
        <v>36</v>
      </c>
      <c r="W176" s="1"/>
      <c r="X176" s="1"/>
      <c r="Y176" s="1"/>
      <c r="Z176" s="1" t="s">
        <v>1836</v>
      </c>
      <c r="AA176" s="75">
        <v>44927</v>
      </c>
      <c r="AB176" s="75">
        <v>45839</v>
      </c>
      <c r="AC176" s="88">
        <v>0</v>
      </c>
      <c r="AD176" s="88">
        <v>5000000</v>
      </c>
    </row>
    <row r="177" spans="1:30" ht="17.399999999999999" customHeight="1" x14ac:dyDescent="0.4">
      <c r="A177" s="29">
        <v>174</v>
      </c>
      <c r="B177" s="29" t="str">
        <f t="shared" si="8"/>
        <v>176</v>
      </c>
      <c r="C177" s="29" t="str">
        <f t="shared" si="9"/>
        <v>C</v>
      </c>
      <c r="D177" s="29" t="str">
        <f t="shared" si="10"/>
        <v>O</v>
      </c>
      <c r="E177" s="29" t="str">
        <f t="shared" si="11"/>
        <v>F</v>
      </c>
      <c r="F177" s="1" t="s">
        <v>699</v>
      </c>
      <c r="G177" s="1" t="s">
        <v>1836</v>
      </c>
      <c r="H177" s="1" t="s">
        <v>1693</v>
      </c>
      <c r="I177" s="1" t="s">
        <v>736</v>
      </c>
      <c r="J177" s="1" t="s">
        <v>31</v>
      </c>
      <c r="K177" s="1" t="s">
        <v>675</v>
      </c>
      <c r="L177" s="1" t="s">
        <v>1712</v>
      </c>
      <c r="M177" s="1" t="s">
        <v>22</v>
      </c>
      <c r="N177" s="1" t="s">
        <v>118</v>
      </c>
      <c r="O177" s="1" t="s">
        <v>339</v>
      </c>
      <c r="P177" s="1" t="s">
        <v>24</v>
      </c>
      <c r="Q177" s="1" t="s">
        <v>340</v>
      </c>
      <c r="R177" s="1" t="s">
        <v>700</v>
      </c>
      <c r="S177" s="75">
        <v>41548</v>
      </c>
      <c r="T177" s="1">
        <v>0</v>
      </c>
      <c r="U177" s="1" t="s">
        <v>701</v>
      </c>
      <c r="V177" s="1" t="s">
        <v>36</v>
      </c>
      <c r="W177" s="1"/>
      <c r="X177" s="1"/>
      <c r="Y177" s="1"/>
      <c r="Z177" s="1" t="s">
        <v>1836</v>
      </c>
      <c r="AA177" s="75">
        <v>44927</v>
      </c>
      <c r="AB177" s="75">
        <v>45839</v>
      </c>
      <c r="AC177" s="88">
        <v>0</v>
      </c>
      <c r="AD177" s="88">
        <v>5000000</v>
      </c>
    </row>
    <row r="178" spans="1:30" ht="17.399999999999999" customHeight="1" x14ac:dyDescent="0.4">
      <c r="A178" s="29">
        <v>175</v>
      </c>
      <c r="B178" s="29" t="str">
        <f t="shared" si="8"/>
        <v>177</v>
      </c>
      <c r="C178" s="29" t="str">
        <f t="shared" si="9"/>
        <v>C</v>
      </c>
      <c r="D178" s="29" t="str">
        <f t="shared" si="10"/>
        <v>O</v>
      </c>
      <c r="E178" s="29" t="str">
        <f t="shared" si="11"/>
        <v>F</v>
      </c>
      <c r="F178" s="1" t="s">
        <v>702</v>
      </c>
      <c r="G178" s="1" t="s">
        <v>675</v>
      </c>
      <c r="H178" s="1" t="s">
        <v>359</v>
      </c>
      <c r="I178" s="1" t="s">
        <v>19</v>
      </c>
      <c r="J178" s="1" t="s">
        <v>676</v>
      </c>
      <c r="K178" s="1" t="s">
        <v>1985</v>
      </c>
      <c r="L178" s="1" t="s">
        <v>1393</v>
      </c>
      <c r="M178" s="1" t="s">
        <v>22</v>
      </c>
      <c r="N178" s="1" t="s">
        <v>118</v>
      </c>
      <c r="O178" s="1" t="s">
        <v>345</v>
      </c>
      <c r="P178" s="1" t="s">
        <v>24</v>
      </c>
      <c r="Q178" s="1" t="s">
        <v>346</v>
      </c>
      <c r="R178" s="1" t="s">
        <v>703</v>
      </c>
      <c r="S178" s="75">
        <v>43466</v>
      </c>
      <c r="T178" s="1">
        <v>0</v>
      </c>
      <c r="U178" s="1" t="s">
        <v>704</v>
      </c>
      <c r="V178" s="1" t="s">
        <v>27</v>
      </c>
      <c r="W178" s="1" t="s">
        <v>1830</v>
      </c>
      <c r="X178" s="1" t="s">
        <v>1836</v>
      </c>
      <c r="Y178" s="1" t="s">
        <v>1856</v>
      </c>
      <c r="Z178" s="1" t="s">
        <v>1836</v>
      </c>
      <c r="AA178" s="75">
        <v>44927</v>
      </c>
      <c r="AB178" s="75">
        <v>44927</v>
      </c>
      <c r="AC178" s="88">
        <v>1400000</v>
      </c>
      <c r="AD178" s="88">
        <v>19293000</v>
      </c>
    </row>
    <row r="179" spans="1:30" ht="17.399999999999999" customHeight="1" x14ac:dyDescent="0.4">
      <c r="A179" s="29">
        <v>176</v>
      </c>
      <c r="B179" s="29" t="str">
        <f t="shared" si="8"/>
        <v>178</v>
      </c>
      <c r="C179" s="29" t="str">
        <f t="shared" si="9"/>
        <v>C</v>
      </c>
      <c r="D179" s="29" t="str">
        <f t="shared" si="10"/>
        <v>O</v>
      </c>
      <c r="E179" s="29" t="str">
        <f t="shared" si="11"/>
        <v>F</v>
      </c>
      <c r="F179" s="1" t="s">
        <v>705</v>
      </c>
      <c r="G179" s="1" t="s">
        <v>675</v>
      </c>
      <c r="H179" s="1" t="s">
        <v>359</v>
      </c>
      <c r="I179" s="1" t="s">
        <v>19</v>
      </c>
      <c r="J179" s="1" t="s">
        <v>676</v>
      </c>
      <c r="K179" s="1" t="s">
        <v>1986</v>
      </c>
      <c r="L179" s="1" t="s">
        <v>1394</v>
      </c>
      <c r="M179" s="1" t="s">
        <v>22</v>
      </c>
      <c r="N179" s="1" t="s">
        <v>118</v>
      </c>
      <c r="O179" s="1" t="s">
        <v>339</v>
      </c>
      <c r="P179" s="1" t="s">
        <v>24</v>
      </c>
      <c r="Q179" s="1" t="s">
        <v>340</v>
      </c>
      <c r="R179" s="1" t="s">
        <v>707</v>
      </c>
      <c r="S179" s="75">
        <v>44197</v>
      </c>
      <c r="T179" s="1">
        <v>0</v>
      </c>
      <c r="U179" s="1" t="s">
        <v>708</v>
      </c>
      <c r="V179" s="1" t="s">
        <v>27</v>
      </c>
      <c r="W179" s="1" t="s">
        <v>1830</v>
      </c>
      <c r="X179" s="1" t="s">
        <v>1836</v>
      </c>
      <c r="Y179" s="1" t="s">
        <v>1856</v>
      </c>
      <c r="Z179" s="1" t="s">
        <v>1836</v>
      </c>
      <c r="AA179" s="75">
        <v>44927</v>
      </c>
      <c r="AB179" s="75">
        <v>44927</v>
      </c>
      <c r="AC179" s="88">
        <v>1000000</v>
      </c>
      <c r="AD179" s="88">
        <v>28681000</v>
      </c>
    </row>
    <row r="180" spans="1:30" ht="17.399999999999999" customHeight="1" x14ac:dyDescent="0.4">
      <c r="A180" s="29">
        <v>177</v>
      </c>
      <c r="B180" s="29" t="str">
        <f t="shared" si="8"/>
        <v>179</v>
      </c>
      <c r="C180" s="29" t="str">
        <f t="shared" si="9"/>
        <v>C</v>
      </c>
      <c r="D180" s="29" t="str">
        <f t="shared" si="10"/>
        <v>O</v>
      </c>
      <c r="E180" s="29" t="str">
        <f t="shared" si="11"/>
        <v>F</v>
      </c>
      <c r="F180" s="1" t="s">
        <v>709</v>
      </c>
      <c r="G180" s="1" t="s">
        <v>675</v>
      </c>
      <c r="H180" s="1" t="s">
        <v>359</v>
      </c>
      <c r="I180" s="1" t="s">
        <v>19</v>
      </c>
      <c r="J180" s="1" t="s">
        <v>676</v>
      </c>
      <c r="K180" s="1" t="s">
        <v>689</v>
      </c>
      <c r="L180" s="1" t="s">
        <v>1395</v>
      </c>
      <c r="M180" s="1" t="s">
        <v>22</v>
      </c>
      <c r="N180" s="1" t="s">
        <v>118</v>
      </c>
      <c r="O180" s="1" t="s">
        <v>339</v>
      </c>
      <c r="P180" s="1" t="s">
        <v>24</v>
      </c>
      <c r="Q180" s="1" t="s">
        <v>340</v>
      </c>
      <c r="R180" s="1" t="s">
        <v>710</v>
      </c>
      <c r="S180" s="75">
        <v>44197</v>
      </c>
      <c r="T180" s="1">
        <v>0</v>
      </c>
      <c r="U180" s="1" t="s">
        <v>711</v>
      </c>
      <c r="V180" s="1" t="s">
        <v>27</v>
      </c>
      <c r="W180" s="1" t="s">
        <v>1830</v>
      </c>
      <c r="X180" s="1" t="s">
        <v>1836</v>
      </c>
      <c r="Y180" s="1" t="s">
        <v>1856</v>
      </c>
      <c r="Z180" s="1" t="s">
        <v>1836</v>
      </c>
      <c r="AA180" s="75">
        <v>44927</v>
      </c>
      <c r="AB180" s="75">
        <v>44927</v>
      </c>
      <c r="AC180" s="88">
        <v>1000000</v>
      </c>
      <c r="AD180" s="88">
        <v>28681000</v>
      </c>
    </row>
    <row r="181" spans="1:30" ht="17.399999999999999" customHeight="1" x14ac:dyDescent="0.4">
      <c r="A181" s="29">
        <v>178</v>
      </c>
      <c r="B181" s="29" t="str">
        <f t="shared" si="8"/>
        <v>180</v>
      </c>
      <c r="C181" s="29" t="str">
        <f t="shared" si="9"/>
        <v>C</v>
      </c>
      <c r="D181" s="29" t="str">
        <f t="shared" si="10"/>
        <v>O</v>
      </c>
      <c r="E181" s="29" t="str">
        <f t="shared" si="11"/>
        <v>F</v>
      </c>
      <c r="F181" s="1" t="s">
        <v>712</v>
      </c>
      <c r="G181" s="1" t="s">
        <v>675</v>
      </c>
      <c r="H181" s="1" t="s">
        <v>359</v>
      </c>
      <c r="I181" s="1" t="s">
        <v>19</v>
      </c>
      <c r="J181" s="1" t="s">
        <v>676</v>
      </c>
      <c r="K181" s="1" t="s">
        <v>706</v>
      </c>
      <c r="L181" s="1" t="s">
        <v>1396</v>
      </c>
      <c r="M181" s="1" t="s">
        <v>22</v>
      </c>
      <c r="N181" s="1" t="s">
        <v>118</v>
      </c>
      <c r="O181" s="1" t="s">
        <v>339</v>
      </c>
      <c r="P181" s="1" t="s">
        <v>24</v>
      </c>
      <c r="Q181" s="1" t="s">
        <v>340</v>
      </c>
      <c r="R181" s="1" t="s">
        <v>713</v>
      </c>
      <c r="S181" s="75">
        <v>44197</v>
      </c>
      <c r="T181" s="1">
        <v>0</v>
      </c>
      <c r="U181" s="1" t="s">
        <v>714</v>
      </c>
      <c r="V181" s="1" t="s">
        <v>27</v>
      </c>
      <c r="W181" s="1" t="s">
        <v>1830</v>
      </c>
      <c r="X181" s="1" t="s">
        <v>1836</v>
      </c>
      <c r="Y181" s="1" t="s">
        <v>1856</v>
      </c>
      <c r="Z181" s="1" t="s">
        <v>1836</v>
      </c>
      <c r="AA181" s="75">
        <v>44927</v>
      </c>
      <c r="AB181" s="75">
        <v>44927</v>
      </c>
      <c r="AC181" s="88">
        <v>1000000</v>
      </c>
      <c r="AD181" s="88">
        <v>28681000</v>
      </c>
    </row>
    <row r="182" spans="1:30" x14ac:dyDescent="0.4">
      <c r="A182" s="29">
        <v>179</v>
      </c>
      <c r="B182" s="29" t="str">
        <f t="shared" si="8"/>
        <v>181</v>
      </c>
      <c r="C182" s="29" t="str">
        <f t="shared" si="9"/>
        <v>C</v>
      </c>
      <c r="D182" s="29" t="str">
        <f t="shared" si="10"/>
        <v>B</v>
      </c>
      <c r="E182" s="29" t="str">
        <f t="shared" si="11"/>
        <v>F</v>
      </c>
      <c r="F182" s="1" t="s">
        <v>1739</v>
      </c>
      <c r="G182" s="1" t="s">
        <v>675</v>
      </c>
      <c r="H182" s="1" t="s">
        <v>359</v>
      </c>
      <c r="I182" s="1" t="s">
        <v>19</v>
      </c>
      <c r="J182" s="1" t="s">
        <v>676</v>
      </c>
      <c r="K182" s="1" t="s">
        <v>1987</v>
      </c>
      <c r="L182" s="1" t="s">
        <v>1397</v>
      </c>
      <c r="M182" s="1" t="s">
        <v>22</v>
      </c>
      <c r="N182" s="1" t="s">
        <v>118</v>
      </c>
      <c r="O182" s="1" t="s">
        <v>254</v>
      </c>
      <c r="P182" s="1" t="s">
        <v>24</v>
      </c>
      <c r="Q182" s="1" t="s">
        <v>715</v>
      </c>
      <c r="R182" s="1" t="s">
        <v>716</v>
      </c>
      <c r="S182" s="75">
        <v>42856</v>
      </c>
      <c r="T182" s="1">
        <v>0</v>
      </c>
      <c r="U182" s="1"/>
      <c r="V182" s="1" t="s">
        <v>27</v>
      </c>
      <c r="W182" s="1" t="s">
        <v>1830</v>
      </c>
      <c r="X182" s="1" t="s">
        <v>1836</v>
      </c>
      <c r="Y182" s="1" t="s">
        <v>1856</v>
      </c>
      <c r="Z182" s="1" t="s">
        <v>1836</v>
      </c>
      <c r="AA182" s="75">
        <v>44927</v>
      </c>
      <c r="AB182" s="75">
        <v>44927</v>
      </c>
      <c r="AC182" s="88">
        <v>1150000</v>
      </c>
      <c r="AD182" s="88">
        <v>5000000</v>
      </c>
    </row>
    <row r="183" spans="1:30" x14ac:dyDescent="0.4">
      <c r="A183" s="29">
        <v>180</v>
      </c>
      <c r="B183" s="29" t="str">
        <f t="shared" si="8"/>
        <v>182</v>
      </c>
      <c r="C183" s="29" t="str">
        <f t="shared" si="9"/>
        <v>C</v>
      </c>
      <c r="D183" s="29" t="str">
        <f t="shared" si="10"/>
        <v>B</v>
      </c>
      <c r="E183" s="29" t="str">
        <f t="shared" si="11"/>
        <v>F</v>
      </c>
      <c r="F183" s="1" t="s">
        <v>717</v>
      </c>
      <c r="G183" s="1" t="s">
        <v>675</v>
      </c>
      <c r="H183" s="1" t="s">
        <v>359</v>
      </c>
      <c r="I183" s="1" t="s">
        <v>19</v>
      </c>
      <c r="J183" s="1" t="s">
        <v>676</v>
      </c>
      <c r="K183" s="1" t="s">
        <v>1988</v>
      </c>
      <c r="L183" s="1" t="s">
        <v>1398</v>
      </c>
      <c r="M183" s="1" t="s">
        <v>22</v>
      </c>
      <c r="N183" s="1" t="s">
        <v>118</v>
      </c>
      <c r="O183" s="1" t="s">
        <v>254</v>
      </c>
      <c r="P183" s="1" t="s">
        <v>24</v>
      </c>
      <c r="Q183" s="1" t="s">
        <v>715</v>
      </c>
      <c r="R183" s="1" t="s">
        <v>718</v>
      </c>
      <c r="S183" s="75">
        <v>44256</v>
      </c>
      <c r="T183" s="1">
        <v>0</v>
      </c>
      <c r="U183" s="1"/>
      <c r="V183" s="1" t="s">
        <v>27</v>
      </c>
      <c r="W183" s="1" t="s">
        <v>1830</v>
      </c>
      <c r="X183" s="1" t="s">
        <v>1836</v>
      </c>
      <c r="Y183" s="1" t="s">
        <v>1839</v>
      </c>
      <c r="Z183" s="1" t="s">
        <v>1836</v>
      </c>
      <c r="AA183" s="75">
        <v>44927</v>
      </c>
      <c r="AB183" s="75">
        <v>44927</v>
      </c>
      <c r="AC183" s="88">
        <v>1150000</v>
      </c>
      <c r="AD183" s="88">
        <v>44077000</v>
      </c>
    </row>
    <row r="184" spans="1:30" x14ac:dyDescent="0.4">
      <c r="A184" s="29">
        <v>181</v>
      </c>
      <c r="B184" s="29" t="str">
        <f t="shared" si="8"/>
        <v>183</v>
      </c>
      <c r="C184" s="29" t="str">
        <f t="shared" si="9"/>
        <v>C</v>
      </c>
      <c r="D184" s="29" t="str">
        <f t="shared" si="10"/>
        <v>B</v>
      </c>
      <c r="E184" s="29" t="str">
        <f t="shared" si="11"/>
        <v>F</v>
      </c>
      <c r="F184" s="1" t="s">
        <v>719</v>
      </c>
      <c r="G184" s="1" t="s">
        <v>675</v>
      </c>
      <c r="H184" s="1" t="s">
        <v>359</v>
      </c>
      <c r="I184" s="1" t="s">
        <v>19</v>
      </c>
      <c r="J184" s="1" t="s">
        <v>676</v>
      </c>
      <c r="K184" s="1" t="s">
        <v>736</v>
      </c>
      <c r="L184" s="1" t="s">
        <v>1399</v>
      </c>
      <c r="M184" s="1" t="s">
        <v>22</v>
      </c>
      <c r="N184" s="1" t="s">
        <v>118</v>
      </c>
      <c r="O184" s="1" t="s">
        <v>254</v>
      </c>
      <c r="P184" s="1" t="s">
        <v>24</v>
      </c>
      <c r="Q184" s="1" t="s">
        <v>715</v>
      </c>
      <c r="R184" s="1" t="s">
        <v>720</v>
      </c>
      <c r="S184" s="75">
        <v>43191</v>
      </c>
      <c r="T184" s="1">
        <v>0</v>
      </c>
      <c r="U184" s="1"/>
      <c r="V184" s="1" t="s">
        <v>36</v>
      </c>
      <c r="W184" s="1"/>
      <c r="X184" s="1"/>
      <c r="Y184" s="1"/>
      <c r="Z184" s="1" t="s">
        <v>1836</v>
      </c>
      <c r="AA184" s="75">
        <v>44927</v>
      </c>
      <c r="AB184" s="75">
        <v>44927</v>
      </c>
      <c r="AC184" s="88">
        <v>1150000</v>
      </c>
      <c r="AD184" s="88">
        <v>8085000</v>
      </c>
    </row>
    <row r="185" spans="1:30" x14ac:dyDescent="0.4">
      <c r="A185" s="29">
        <v>182</v>
      </c>
      <c r="B185" s="29" t="str">
        <f t="shared" si="8"/>
        <v>184</v>
      </c>
      <c r="C185" s="29" t="str">
        <f t="shared" si="9"/>
        <v>C</v>
      </c>
      <c r="D185" s="29" t="str">
        <f t="shared" si="10"/>
        <v>B</v>
      </c>
      <c r="E185" s="29" t="str">
        <f t="shared" si="11"/>
        <v>F</v>
      </c>
      <c r="F185" s="1" t="s">
        <v>2061</v>
      </c>
      <c r="G185" s="1" t="s">
        <v>675</v>
      </c>
      <c r="H185" s="1" t="s">
        <v>359</v>
      </c>
      <c r="I185" s="1" t="s">
        <v>19</v>
      </c>
      <c r="J185" s="1" t="s">
        <v>676</v>
      </c>
      <c r="K185" s="1" t="s">
        <v>1989</v>
      </c>
      <c r="L185" s="1" t="s">
        <v>1400</v>
      </c>
      <c r="M185" s="1" t="s">
        <v>22</v>
      </c>
      <c r="N185" s="1" t="s">
        <v>118</v>
      </c>
      <c r="O185" s="1" t="s">
        <v>254</v>
      </c>
      <c r="P185" s="1" t="s">
        <v>24</v>
      </c>
      <c r="Q185" s="1" t="s">
        <v>715</v>
      </c>
      <c r="R185" s="1" t="s">
        <v>721</v>
      </c>
      <c r="S185" s="75">
        <v>44805</v>
      </c>
      <c r="T185" s="1">
        <v>0</v>
      </c>
      <c r="U185" s="1"/>
      <c r="V185" s="1" t="s">
        <v>27</v>
      </c>
      <c r="W185" s="1" t="s">
        <v>1830</v>
      </c>
      <c r="X185" s="1" t="s">
        <v>1836</v>
      </c>
      <c r="Y185" s="1" t="s">
        <v>1856</v>
      </c>
      <c r="Z185" s="1" t="s">
        <v>1836</v>
      </c>
      <c r="AA185" s="75">
        <v>44927</v>
      </c>
      <c r="AB185" s="75">
        <v>44927</v>
      </c>
      <c r="AC185" s="88">
        <v>1150000</v>
      </c>
      <c r="AD185" s="88">
        <v>62587000</v>
      </c>
    </row>
    <row r="186" spans="1:30" ht="17.399999999999999" customHeight="1" x14ac:dyDescent="0.4">
      <c r="A186" s="29">
        <v>183</v>
      </c>
      <c r="B186" s="29" t="str">
        <f t="shared" si="8"/>
        <v>185</v>
      </c>
      <c r="C186" s="29" t="str">
        <f t="shared" si="9"/>
        <v>C</v>
      </c>
      <c r="D186" s="29" t="str">
        <f t="shared" si="10"/>
        <v>B</v>
      </c>
      <c r="E186" s="29" t="str">
        <f t="shared" si="11"/>
        <v>F</v>
      </c>
      <c r="F186" s="1" t="s">
        <v>722</v>
      </c>
      <c r="G186" s="1" t="s">
        <v>76</v>
      </c>
      <c r="H186" s="1" t="s">
        <v>76</v>
      </c>
      <c r="I186" s="1" t="s">
        <v>19</v>
      </c>
      <c r="J186" s="1" t="s">
        <v>31</v>
      </c>
      <c r="K186" s="1" t="s">
        <v>1365</v>
      </c>
      <c r="L186" s="1" t="s">
        <v>723</v>
      </c>
      <c r="M186" s="1" t="s">
        <v>22</v>
      </c>
      <c r="N186" s="1" t="s">
        <v>81</v>
      </c>
      <c r="O186" s="1" t="s">
        <v>33</v>
      </c>
      <c r="P186" s="1" t="s">
        <v>24</v>
      </c>
      <c r="Q186" s="1" t="s">
        <v>724</v>
      </c>
      <c r="R186" s="1" t="s">
        <v>725</v>
      </c>
      <c r="S186" s="75">
        <v>40422</v>
      </c>
      <c r="T186" s="1">
        <v>0</v>
      </c>
      <c r="U186" s="1"/>
      <c r="V186" s="1" t="s">
        <v>36</v>
      </c>
      <c r="W186" s="1"/>
      <c r="X186" s="1"/>
      <c r="Y186" s="1"/>
      <c r="Z186" s="1" t="s">
        <v>1836</v>
      </c>
      <c r="AA186" s="75">
        <v>44927</v>
      </c>
      <c r="AB186" s="75">
        <v>45108</v>
      </c>
      <c r="AC186" s="88">
        <v>440000</v>
      </c>
      <c r="AD186" s="88">
        <v>3000000</v>
      </c>
    </row>
    <row r="187" spans="1:30" ht="17.399999999999999" customHeight="1" x14ac:dyDescent="0.4">
      <c r="A187" s="29">
        <v>184</v>
      </c>
      <c r="B187" s="29" t="str">
        <f t="shared" si="8"/>
        <v>186</v>
      </c>
      <c r="C187" s="29" t="str">
        <f t="shared" si="9"/>
        <v>C</v>
      </c>
      <c r="D187" s="29" t="str">
        <f t="shared" si="10"/>
        <v>B</v>
      </c>
      <c r="E187" s="29" t="str">
        <f t="shared" si="11"/>
        <v>F</v>
      </c>
      <c r="F187" s="1" t="s">
        <v>726</v>
      </c>
      <c r="G187" s="1" t="s">
        <v>76</v>
      </c>
      <c r="H187" s="1" t="s">
        <v>76</v>
      </c>
      <c r="I187" s="1" t="s">
        <v>19</v>
      </c>
      <c r="J187" s="1" t="s">
        <v>31</v>
      </c>
      <c r="K187" s="1" t="s">
        <v>76</v>
      </c>
      <c r="L187" s="1" t="s">
        <v>727</v>
      </c>
      <c r="M187" s="1" t="s">
        <v>22</v>
      </c>
      <c r="N187" s="1" t="s">
        <v>81</v>
      </c>
      <c r="O187" s="1" t="s">
        <v>33</v>
      </c>
      <c r="P187" s="1" t="s">
        <v>24</v>
      </c>
      <c r="Q187" s="1" t="s">
        <v>724</v>
      </c>
      <c r="R187" s="1" t="s">
        <v>728</v>
      </c>
      <c r="S187" s="75">
        <v>40695</v>
      </c>
      <c r="T187" s="1">
        <v>0</v>
      </c>
      <c r="U187" s="1"/>
      <c r="V187" s="1" t="s">
        <v>36</v>
      </c>
      <c r="W187" s="1"/>
      <c r="X187" s="1"/>
      <c r="Y187" s="1"/>
      <c r="Z187" s="1" t="s">
        <v>1836</v>
      </c>
      <c r="AA187" s="75">
        <v>44927</v>
      </c>
      <c r="AB187" s="75">
        <v>45108</v>
      </c>
      <c r="AC187" s="88">
        <v>440000</v>
      </c>
      <c r="AD187" s="88">
        <v>3000000</v>
      </c>
    </row>
    <row r="188" spans="1:30" ht="17.399999999999999" customHeight="1" x14ac:dyDescent="0.4">
      <c r="A188" s="29">
        <v>185</v>
      </c>
      <c r="B188" s="29" t="str">
        <f t="shared" si="8"/>
        <v>187</v>
      </c>
      <c r="C188" s="29" t="str">
        <f t="shared" si="9"/>
        <v>C</v>
      </c>
      <c r="D188" s="29" t="str">
        <f t="shared" si="10"/>
        <v>B</v>
      </c>
      <c r="E188" s="29" t="str">
        <f t="shared" si="11"/>
        <v>F</v>
      </c>
      <c r="F188" s="1" t="s">
        <v>729</v>
      </c>
      <c r="G188" s="1" t="s">
        <v>656</v>
      </c>
      <c r="H188" s="1" t="s">
        <v>359</v>
      </c>
      <c r="I188" s="1" t="s">
        <v>19</v>
      </c>
      <c r="J188" s="1" t="s">
        <v>31</v>
      </c>
      <c r="K188" s="1" t="s">
        <v>1909</v>
      </c>
      <c r="L188" s="1" t="s">
        <v>730</v>
      </c>
      <c r="M188" s="1" t="s">
        <v>22</v>
      </c>
      <c r="N188" s="1" t="s">
        <v>81</v>
      </c>
      <c r="O188" s="1" t="s">
        <v>33</v>
      </c>
      <c r="P188" s="1" t="s">
        <v>24</v>
      </c>
      <c r="Q188" s="1" t="s">
        <v>724</v>
      </c>
      <c r="R188" s="1" t="s">
        <v>731</v>
      </c>
      <c r="S188" s="75">
        <v>40756</v>
      </c>
      <c r="T188" s="1">
        <v>11050</v>
      </c>
      <c r="U188" s="1"/>
      <c r="V188" s="1" t="s">
        <v>36</v>
      </c>
      <c r="W188" s="1"/>
      <c r="X188" s="1"/>
      <c r="Y188" s="1"/>
      <c r="Z188" s="1" t="s">
        <v>1836</v>
      </c>
      <c r="AA188" s="75">
        <v>44927</v>
      </c>
      <c r="AB188" s="75">
        <v>45444</v>
      </c>
      <c r="AC188" s="88">
        <v>430000</v>
      </c>
      <c r="AD188" s="88">
        <v>3000000</v>
      </c>
    </row>
    <row r="189" spans="1:30" ht="17.399999999999999" customHeight="1" x14ac:dyDescent="0.4">
      <c r="A189" s="29">
        <v>186</v>
      </c>
      <c r="B189" s="29" t="str">
        <f t="shared" si="8"/>
        <v>188</v>
      </c>
      <c r="C189" s="29" t="str">
        <f t="shared" si="9"/>
        <v>C</v>
      </c>
      <c r="D189" s="29" t="str">
        <f t="shared" si="10"/>
        <v>B</v>
      </c>
      <c r="E189" s="29" t="str">
        <f t="shared" si="11"/>
        <v>F</v>
      </c>
      <c r="F189" s="1" t="s">
        <v>732</v>
      </c>
      <c r="G189" s="1" t="s">
        <v>76</v>
      </c>
      <c r="H189" s="1" t="s">
        <v>76</v>
      </c>
      <c r="I189" s="1" t="s">
        <v>19</v>
      </c>
      <c r="J189" s="1" t="s">
        <v>31</v>
      </c>
      <c r="K189" s="1" t="s">
        <v>76</v>
      </c>
      <c r="L189" s="1" t="s">
        <v>733</v>
      </c>
      <c r="M189" s="1" t="s">
        <v>22</v>
      </c>
      <c r="N189" s="1" t="s">
        <v>81</v>
      </c>
      <c r="O189" s="1" t="s">
        <v>33</v>
      </c>
      <c r="P189" s="1" t="s">
        <v>24</v>
      </c>
      <c r="Q189" s="1" t="s">
        <v>724</v>
      </c>
      <c r="R189" s="1" t="s">
        <v>734</v>
      </c>
      <c r="S189" s="75">
        <v>41061</v>
      </c>
      <c r="T189" s="1">
        <v>0</v>
      </c>
      <c r="U189" s="1"/>
      <c r="V189" s="1" t="s">
        <v>36</v>
      </c>
      <c r="W189" s="1"/>
      <c r="X189" s="1"/>
      <c r="Y189" s="1"/>
      <c r="Z189" s="1" t="s">
        <v>1836</v>
      </c>
      <c r="AA189" s="75">
        <v>44927</v>
      </c>
      <c r="AB189" s="75">
        <v>45108</v>
      </c>
      <c r="AC189" s="88">
        <v>400000</v>
      </c>
      <c r="AD189" s="88">
        <v>3000000</v>
      </c>
    </row>
    <row r="190" spans="1:30" ht="17.399999999999999" customHeight="1" x14ac:dyDescent="0.4">
      <c r="A190" s="29">
        <v>187</v>
      </c>
      <c r="B190" s="29" t="str">
        <f t="shared" si="8"/>
        <v>189</v>
      </c>
      <c r="C190" s="29" t="str">
        <f t="shared" si="9"/>
        <v>C</v>
      </c>
      <c r="D190" s="29" t="str">
        <f t="shared" si="10"/>
        <v>B</v>
      </c>
      <c r="E190" s="29" t="str">
        <f t="shared" si="11"/>
        <v>F</v>
      </c>
      <c r="F190" s="1" t="s">
        <v>735</v>
      </c>
      <c r="G190" s="1" t="s">
        <v>76</v>
      </c>
      <c r="H190" s="1" t="s">
        <v>76</v>
      </c>
      <c r="I190" s="1" t="s">
        <v>19</v>
      </c>
      <c r="J190" s="1" t="s">
        <v>31</v>
      </c>
      <c r="K190" s="1" t="s">
        <v>76</v>
      </c>
      <c r="L190" s="1" t="s">
        <v>736</v>
      </c>
      <c r="M190" s="1" t="s">
        <v>22</v>
      </c>
      <c r="N190" s="1" t="s">
        <v>81</v>
      </c>
      <c r="O190" s="1" t="s">
        <v>33</v>
      </c>
      <c r="P190" s="1" t="s">
        <v>24</v>
      </c>
      <c r="Q190" s="1" t="s">
        <v>724</v>
      </c>
      <c r="R190" s="1" t="s">
        <v>737</v>
      </c>
      <c r="S190" s="75">
        <v>41671</v>
      </c>
      <c r="T190" s="1">
        <v>0</v>
      </c>
      <c r="U190" s="1"/>
      <c r="V190" s="1" t="s">
        <v>36</v>
      </c>
      <c r="W190" s="1"/>
      <c r="X190" s="1"/>
      <c r="Y190" s="1"/>
      <c r="Z190" s="1" t="s">
        <v>1836</v>
      </c>
      <c r="AA190" s="75">
        <v>44927</v>
      </c>
      <c r="AB190" s="75">
        <v>45132</v>
      </c>
      <c r="AC190" s="88">
        <v>0</v>
      </c>
      <c r="AD190" s="88">
        <v>3000000</v>
      </c>
    </row>
    <row r="191" spans="1:30" ht="17.399999999999999" customHeight="1" x14ac:dyDescent="0.4">
      <c r="A191" s="29">
        <v>188</v>
      </c>
      <c r="B191" s="29" t="str">
        <f t="shared" si="8"/>
        <v>190</v>
      </c>
      <c r="C191" s="29" t="str">
        <f t="shared" si="9"/>
        <v>C</v>
      </c>
      <c r="D191" s="29" t="str">
        <f t="shared" si="10"/>
        <v>B</v>
      </c>
      <c r="E191" s="29" t="str">
        <f t="shared" si="11"/>
        <v>F</v>
      </c>
      <c r="F191" s="1" t="s">
        <v>738</v>
      </c>
      <c r="G191" s="1" t="s">
        <v>76</v>
      </c>
      <c r="H191" s="1" t="s">
        <v>76</v>
      </c>
      <c r="I191" s="1" t="s">
        <v>19</v>
      </c>
      <c r="J191" s="1" t="s">
        <v>31</v>
      </c>
      <c r="K191" s="1" t="s">
        <v>76</v>
      </c>
      <c r="L191" s="1" t="s">
        <v>739</v>
      </c>
      <c r="M191" s="1" t="s">
        <v>22</v>
      </c>
      <c r="N191" s="1" t="s">
        <v>81</v>
      </c>
      <c r="O191" s="1" t="s">
        <v>33</v>
      </c>
      <c r="P191" s="1" t="s">
        <v>24</v>
      </c>
      <c r="Q191" s="1" t="s">
        <v>724</v>
      </c>
      <c r="R191" s="1" t="s">
        <v>740</v>
      </c>
      <c r="S191" s="75">
        <v>41671</v>
      </c>
      <c r="T191" s="1">
        <v>0</v>
      </c>
      <c r="U191" s="1"/>
      <c r="V191" s="1" t="s">
        <v>36</v>
      </c>
      <c r="W191" s="1"/>
      <c r="X191" s="1"/>
      <c r="Y191" s="1"/>
      <c r="Z191" s="1" t="s">
        <v>1836</v>
      </c>
      <c r="AA191" s="75">
        <v>44927</v>
      </c>
      <c r="AB191" s="75">
        <v>45108</v>
      </c>
      <c r="AC191" s="88">
        <v>440000</v>
      </c>
      <c r="AD191" s="88">
        <v>3000000</v>
      </c>
    </row>
    <row r="192" spans="1:30" ht="17.399999999999999" customHeight="1" x14ac:dyDescent="0.4">
      <c r="A192" s="29">
        <v>189</v>
      </c>
      <c r="B192" s="29" t="str">
        <f t="shared" si="8"/>
        <v>191</v>
      </c>
      <c r="C192" s="29" t="str">
        <f t="shared" si="9"/>
        <v>C</v>
      </c>
      <c r="D192" s="29" t="str">
        <f t="shared" si="10"/>
        <v>B</v>
      </c>
      <c r="E192" s="29" t="str">
        <f t="shared" si="11"/>
        <v>F</v>
      </c>
      <c r="F192" s="1" t="s">
        <v>741</v>
      </c>
      <c r="G192" s="1" t="s">
        <v>76</v>
      </c>
      <c r="H192" s="1" t="s">
        <v>76</v>
      </c>
      <c r="I192" s="1" t="s">
        <v>19</v>
      </c>
      <c r="J192" s="1" t="s">
        <v>31</v>
      </c>
      <c r="K192" s="1" t="s">
        <v>1365</v>
      </c>
      <c r="L192" s="1" t="s">
        <v>742</v>
      </c>
      <c r="M192" s="1" t="s">
        <v>22</v>
      </c>
      <c r="N192" s="1" t="s">
        <v>81</v>
      </c>
      <c r="O192" s="1" t="s">
        <v>33</v>
      </c>
      <c r="P192" s="1" t="s">
        <v>24</v>
      </c>
      <c r="Q192" s="1" t="s">
        <v>724</v>
      </c>
      <c r="R192" s="1" t="s">
        <v>743</v>
      </c>
      <c r="S192" s="75">
        <v>41699</v>
      </c>
      <c r="T192" s="1">
        <v>0</v>
      </c>
      <c r="U192" s="1"/>
      <c r="V192" s="1" t="s">
        <v>36</v>
      </c>
      <c r="W192" s="1"/>
      <c r="X192" s="1"/>
      <c r="Y192" s="1"/>
      <c r="Z192" s="1" t="s">
        <v>1836</v>
      </c>
      <c r="AA192" s="75">
        <v>44927</v>
      </c>
      <c r="AB192" s="75">
        <v>45108</v>
      </c>
      <c r="AC192" s="88">
        <v>440000</v>
      </c>
      <c r="AD192" s="88">
        <v>3000000</v>
      </c>
    </row>
    <row r="193" spans="1:30" ht="17.399999999999999" customHeight="1" x14ac:dyDescent="0.4">
      <c r="A193" s="29">
        <v>190</v>
      </c>
      <c r="B193" s="29" t="str">
        <f t="shared" si="8"/>
        <v>192</v>
      </c>
      <c r="C193" s="29" t="str">
        <f t="shared" si="9"/>
        <v>C</v>
      </c>
      <c r="D193" s="29" t="str">
        <f t="shared" si="10"/>
        <v>B</v>
      </c>
      <c r="E193" s="29" t="str">
        <f t="shared" si="11"/>
        <v>F</v>
      </c>
      <c r="F193" s="1" t="s">
        <v>744</v>
      </c>
      <c r="G193" s="1" t="s">
        <v>76</v>
      </c>
      <c r="H193" s="1" t="s">
        <v>76</v>
      </c>
      <c r="I193" s="1" t="s">
        <v>19</v>
      </c>
      <c r="J193" s="1" t="s">
        <v>31</v>
      </c>
      <c r="K193" s="1" t="s">
        <v>1365</v>
      </c>
      <c r="L193" s="1" t="s">
        <v>745</v>
      </c>
      <c r="M193" s="1" t="s">
        <v>22</v>
      </c>
      <c r="N193" s="1" t="s">
        <v>81</v>
      </c>
      <c r="O193" s="1" t="s">
        <v>33</v>
      </c>
      <c r="P193" s="1" t="s">
        <v>24</v>
      </c>
      <c r="Q193" s="1" t="s">
        <v>724</v>
      </c>
      <c r="R193" s="1" t="s">
        <v>746</v>
      </c>
      <c r="S193" s="75">
        <v>41699</v>
      </c>
      <c r="T193" s="1">
        <v>0</v>
      </c>
      <c r="U193" s="1"/>
      <c r="V193" s="1" t="s">
        <v>36</v>
      </c>
      <c r="W193" s="1"/>
      <c r="X193" s="1"/>
      <c r="Y193" s="1"/>
      <c r="Z193" s="1" t="s">
        <v>1836</v>
      </c>
      <c r="AA193" s="75">
        <v>44927</v>
      </c>
      <c r="AB193" s="75">
        <v>45108</v>
      </c>
      <c r="AC193" s="88">
        <v>440000</v>
      </c>
      <c r="AD193" s="88">
        <v>3000000</v>
      </c>
    </row>
    <row r="194" spans="1:30" ht="17.399999999999999" customHeight="1" x14ac:dyDescent="0.4">
      <c r="A194" s="29">
        <v>191</v>
      </c>
      <c r="B194" s="29" t="str">
        <f t="shared" si="8"/>
        <v>193</v>
      </c>
      <c r="C194" s="29" t="str">
        <f t="shared" si="9"/>
        <v>C</v>
      </c>
      <c r="D194" s="29" t="str">
        <f t="shared" si="10"/>
        <v>B</v>
      </c>
      <c r="E194" s="29" t="str">
        <f t="shared" si="11"/>
        <v>F</v>
      </c>
      <c r="F194" s="1" t="s">
        <v>747</v>
      </c>
      <c r="G194" s="1" t="s">
        <v>76</v>
      </c>
      <c r="H194" s="1" t="s">
        <v>76</v>
      </c>
      <c r="I194" s="1" t="s">
        <v>19</v>
      </c>
      <c r="J194" s="1" t="s">
        <v>31</v>
      </c>
      <c r="K194" s="1" t="s">
        <v>76</v>
      </c>
      <c r="L194" s="1" t="s">
        <v>748</v>
      </c>
      <c r="M194" s="1" t="s">
        <v>22</v>
      </c>
      <c r="N194" s="1" t="s">
        <v>81</v>
      </c>
      <c r="O194" s="1" t="s">
        <v>33</v>
      </c>
      <c r="P194" s="1" t="s">
        <v>24</v>
      </c>
      <c r="Q194" s="1" t="s">
        <v>749</v>
      </c>
      <c r="R194" s="1" t="s">
        <v>750</v>
      </c>
      <c r="S194" s="75">
        <v>42948</v>
      </c>
      <c r="T194" s="1">
        <v>0</v>
      </c>
      <c r="U194" s="1"/>
      <c r="V194" s="1" t="s">
        <v>36</v>
      </c>
      <c r="W194" s="1"/>
      <c r="X194" s="1"/>
      <c r="Y194" s="1"/>
      <c r="Z194" s="1" t="s">
        <v>1836</v>
      </c>
      <c r="AA194" s="75">
        <v>44927</v>
      </c>
      <c r="AB194" s="75">
        <v>45108</v>
      </c>
      <c r="AC194" s="88">
        <v>440000</v>
      </c>
      <c r="AD194" s="88">
        <v>3000000</v>
      </c>
    </row>
    <row r="195" spans="1:30" ht="17.399999999999999" customHeight="1" x14ac:dyDescent="0.4">
      <c r="A195" s="29">
        <v>192</v>
      </c>
      <c r="B195" s="29" t="str">
        <f t="shared" si="8"/>
        <v>194</v>
      </c>
      <c r="C195" s="29" t="str">
        <f t="shared" si="9"/>
        <v>C</v>
      </c>
      <c r="D195" s="29" t="str">
        <f t="shared" si="10"/>
        <v>B</v>
      </c>
      <c r="E195" s="29" t="str">
        <f t="shared" si="11"/>
        <v>F</v>
      </c>
      <c r="F195" s="1" t="s">
        <v>751</v>
      </c>
      <c r="G195" s="1" t="s">
        <v>76</v>
      </c>
      <c r="H195" s="1" t="s">
        <v>76</v>
      </c>
      <c r="I195" s="1" t="s">
        <v>19</v>
      </c>
      <c r="J195" s="1" t="s">
        <v>31</v>
      </c>
      <c r="K195" s="1" t="s">
        <v>76</v>
      </c>
      <c r="L195" s="1" t="s">
        <v>752</v>
      </c>
      <c r="M195" s="1" t="s">
        <v>22</v>
      </c>
      <c r="N195" s="1" t="s">
        <v>81</v>
      </c>
      <c r="O195" s="1" t="s">
        <v>33</v>
      </c>
      <c r="P195" s="1" t="s">
        <v>24</v>
      </c>
      <c r="Q195" s="1" t="s">
        <v>749</v>
      </c>
      <c r="R195" s="1" t="s">
        <v>753</v>
      </c>
      <c r="S195" s="75">
        <v>42948</v>
      </c>
      <c r="T195" s="1">
        <v>0</v>
      </c>
      <c r="U195" s="1"/>
      <c r="V195" s="1" t="s">
        <v>36</v>
      </c>
      <c r="W195" s="1"/>
      <c r="X195" s="1"/>
      <c r="Y195" s="1"/>
      <c r="Z195" s="1" t="s">
        <v>1836</v>
      </c>
      <c r="AA195" s="75">
        <v>44927</v>
      </c>
      <c r="AB195" s="75">
        <v>45108</v>
      </c>
      <c r="AC195" s="88">
        <v>440000</v>
      </c>
      <c r="AD195" s="88">
        <v>3000000</v>
      </c>
    </row>
    <row r="196" spans="1:30" ht="17.399999999999999" customHeight="1" x14ac:dyDescent="0.4">
      <c r="A196" s="29">
        <v>193</v>
      </c>
      <c r="B196" s="29" t="str">
        <f t="shared" si="8"/>
        <v>195</v>
      </c>
      <c r="C196" s="29" t="str">
        <f t="shared" si="9"/>
        <v>C</v>
      </c>
      <c r="D196" s="29" t="str">
        <f t="shared" si="10"/>
        <v>B</v>
      </c>
      <c r="E196" s="29" t="str">
        <f t="shared" si="11"/>
        <v>F</v>
      </c>
      <c r="F196" s="1" t="s">
        <v>754</v>
      </c>
      <c r="G196" s="1" t="s">
        <v>76</v>
      </c>
      <c r="H196" s="1" t="s">
        <v>76</v>
      </c>
      <c r="I196" s="1" t="s">
        <v>19</v>
      </c>
      <c r="J196" s="1" t="s">
        <v>31</v>
      </c>
      <c r="K196" s="1" t="s">
        <v>76</v>
      </c>
      <c r="L196" s="1" t="s">
        <v>755</v>
      </c>
      <c r="M196" s="1" t="s">
        <v>22</v>
      </c>
      <c r="N196" s="1" t="s">
        <v>81</v>
      </c>
      <c r="O196" s="1" t="s">
        <v>33</v>
      </c>
      <c r="P196" s="1" t="s">
        <v>24</v>
      </c>
      <c r="Q196" s="1"/>
      <c r="R196" s="1" t="s">
        <v>756</v>
      </c>
      <c r="S196" s="75">
        <v>43009</v>
      </c>
      <c r="T196" s="1">
        <v>0</v>
      </c>
      <c r="U196" s="1"/>
      <c r="V196" s="1" t="s">
        <v>36</v>
      </c>
      <c r="W196" s="1"/>
      <c r="X196" s="1"/>
      <c r="Y196" s="1"/>
      <c r="Z196" s="1" t="s">
        <v>1836</v>
      </c>
      <c r="AA196" s="75">
        <v>44927</v>
      </c>
      <c r="AB196" s="75">
        <v>45108</v>
      </c>
      <c r="AC196" s="88">
        <v>440000</v>
      </c>
      <c r="AD196" s="88">
        <v>3000000</v>
      </c>
    </row>
    <row r="197" spans="1:30" ht="17.399999999999999" customHeight="1" x14ac:dyDescent="0.4">
      <c r="A197" s="29">
        <v>194</v>
      </c>
      <c r="B197" s="29" t="str">
        <f t="shared" ref="B197:B260" si="12">MID(F197,8,3)</f>
        <v>196</v>
      </c>
      <c r="C197" s="29" t="str">
        <f t="shared" ref="C197:C260" si="13">MID(F197,1,1)</f>
        <v>C</v>
      </c>
      <c r="D197" s="29" t="str">
        <f t="shared" ref="D197:D260" si="14">MID(F197,3,1)</f>
        <v>B</v>
      </c>
      <c r="E197" s="29" t="str">
        <f t="shared" ref="E197:E260" si="15">MID(F197,2,1)</f>
        <v>F</v>
      </c>
      <c r="F197" s="1" t="s">
        <v>757</v>
      </c>
      <c r="G197" s="1" t="s">
        <v>76</v>
      </c>
      <c r="H197" s="1" t="s">
        <v>76</v>
      </c>
      <c r="I197" s="1" t="s">
        <v>19</v>
      </c>
      <c r="J197" s="1" t="s">
        <v>31</v>
      </c>
      <c r="K197" s="1" t="s">
        <v>76</v>
      </c>
      <c r="L197" s="1" t="s">
        <v>758</v>
      </c>
      <c r="M197" s="1" t="s">
        <v>22</v>
      </c>
      <c r="N197" s="1" t="s">
        <v>81</v>
      </c>
      <c r="O197" s="1" t="s">
        <v>33</v>
      </c>
      <c r="P197" s="1" t="s">
        <v>24</v>
      </c>
      <c r="Q197" s="1" t="s">
        <v>749</v>
      </c>
      <c r="R197" s="1" t="s">
        <v>759</v>
      </c>
      <c r="S197" s="75">
        <v>43040</v>
      </c>
      <c r="T197" s="1">
        <v>0</v>
      </c>
      <c r="U197" s="1"/>
      <c r="V197" s="1" t="s">
        <v>36</v>
      </c>
      <c r="W197" s="1"/>
      <c r="X197" s="1"/>
      <c r="Y197" s="1"/>
      <c r="Z197" s="1" t="s">
        <v>1836</v>
      </c>
      <c r="AA197" s="75">
        <v>44927</v>
      </c>
      <c r="AB197" s="75">
        <v>45108</v>
      </c>
      <c r="AC197" s="88">
        <v>440000</v>
      </c>
      <c r="AD197" s="88">
        <v>3000000</v>
      </c>
    </row>
    <row r="198" spans="1:30" ht="17.399999999999999" customHeight="1" x14ac:dyDescent="0.4">
      <c r="A198" s="29">
        <v>195</v>
      </c>
      <c r="B198" s="29" t="str">
        <f t="shared" si="12"/>
        <v>197</v>
      </c>
      <c r="C198" s="29" t="str">
        <f t="shared" si="13"/>
        <v>C</v>
      </c>
      <c r="D198" s="29" t="str">
        <f t="shared" si="14"/>
        <v>B</v>
      </c>
      <c r="E198" s="29" t="str">
        <f t="shared" si="15"/>
        <v>F</v>
      </c>
      <c r="F198" s="1" t="s">
        <v>760</v>
      </c>
      <c r="G198" s="1" t="s">
        <v>121</v>
      </c>
      <c r="H198" s="1" t="s">
        <v>121</v>
      </c>
      <c r="I198" s="1" t="s">
        <v>19</v>
      </c>
      <c r="J198" s="1" t="s">
        <v>31</v>
      </c>
      <c r="K198" s="1" t="s">
        <v>761</v>
      </c>
      <c r="L198" s="1" t="s">
        <v>762</v>
      </c>
      <c r="M198" s="1" t="s">
        <v>22</v>
      </c>
      <c r="N198" s="1" t="s">
        <v>81</v>
      </c>
      <c r="O198" s="1" t="s">
        <v>33</v>
      </c>
      <c r="P198" s="1" t="s">
        <v>24</v>
      </c>
      <c r="Q198" s="1" t="s">
        <v>749</v>
      </c>
      <c r="R198" s="1" t="s">
        <v>763</v>
      </c>
      <c r="S198" s="75">
        <v>43191</v>
      </c>
      <c r="T198" s="1">
        <v>0</v>
      </c>
      <c r="U198" s="1"/>
      <c r="V198" s="1" t="s">
        <v>36</v>
      </c>
      <c r="W198" s="1"/>
      <c r="X198" s="1"/>
      <c r="Y198" s="1"/>
      <c r="Z198" s="1" t="s">
        <v>1836</v>
      </c>
      <c r="AA198" s="75">
        <v>44927</v>
      </c>
      <c r="AB198" s="75">
        <v>45261</v>
      </c>
      <c r="AC198" s="88">
        <v>600000</v>
      </c>
      <c r="AD198" s="88">
        <v>4467000</v>
      </c>
    </row>
    <row r="199" spans="1:30" ht="17.399999999999999" customHeight="1" x14ac:dyDescent="0.4">
      <c r="A199" s="29">
        <v>196</v>
      </c>
      <c r="B199" s="29" t="str">
        <f t="shared" si="12"/>
        <v>198</v>
      </c>
      <c r="C199" s="29" t="str">
        <f t="shared" si="13"/>
        <v>C</v>
      </c>
      <c r="D199" s="29" t="str">
        <f t="shared" si="14"/>
        <v>B</v>
      </c>
      <c r="E199" s="29" t="str">
        <f t="shared" si="15"/>
        <v>F</v>
      </c>
      <c r="F199" s="1" t="s">
        <v>764</v>
      </c>
      <c r="G199" s="1" t="s">
        <v>656</v>
      </c>
      <c r="H199" s="1" t="s">
        <v>359</v>
      </c>
      <c r="I199" s="1" t="s">
        <v>19</v>
      </c>
      <c r="J199" s="1" t="s">
        <v>31</v>
      </c>
      <c r="K199" s="1" t="s">
        <v>1910</v>
      </c>
      <c r="L199" s="1" t="s">
        <v>765</v>
      </c>
      <c r="M199" s="1" t="s">
        <v>22</v>
      </c>
      <c r="N199" s="1" t="s">
        <v>81</v>
      </c>
      <c r="O199" s="1" t="s">
        <v>33</v>
      </c>
      <c r="P199" s="1" t="s">
        <v>24</v>
      </c>
      <c r="Q199" s="1" t="s">
        <v>749</v>
      </c>
      <c r="R199" s="1" t="s">
        <v>766</v>
      </c>
      <c r="S199" s="75">
        <v>43191</v>
      </c>
      <c r="T199" s="1">
        <v>0</v>
      </c>
      <c r="U199" s="1"/>
      <c r="V199" s="1" t="s">
        <v>36</v>
      </c>
      <c r="W199" s="1"/>
      <c r="X199" s="1"/>
      <c r="Y199" s="1"/>
      <c r="Z199" s="1" t="s">
        <v>1836</v>
      </c>
      <c r="AA199" s="75">
        <v>44927</v>
      </c>
      <c r="AB199" s="75">
        <v>45720</v>
      </c>
      <c r="AC199" s="88">
        <v>450000</v>
      </c>
      <c r="AD199" s="88">
        <v>4467000</v>
      </c>
    </row>
    <row r="200" spans="1:30" ht="17.399999999999999" customHeight="1" x14ac:dyDescent="0.4">
      <c r="A200" s="29">
        <v>197</v>
      </c>
      <c r="B200" s="29" t="str">
        <f t="shared" si="12"/>
        <v>199</v>
      </c>
      <c r="C200" s="29" t="str">
        <f t="shared" si="13"/>
        <v>C</v>
      </c>
      <c r="D200" s="29" t="str">
        <f t="shared" si="14"/>
        <v>B</v>
      </c>
      <c r="E200" s="29" t="str">
        <f t="shared" si="15"/>
        <v>F</v>
      </c>
      <c r="F200" s="1" t="s">
        <v>767</v>
      </c>
      <c r="G200" s="1" t="s">
        <v>675</v>
      </c>
      <c r="H200" s="1" t="s">
        <v>359</v>
      </c>
      <c r="I200" s="1" t="s">
        <v>19</v>
      </c>
      <c r="J200" s="1" t="s">
        <v>676</v>
      </c>
      <c r="K200" s="1" t="s">
        <v>736</v>
      </c>
      <c r="L200" s="1" t="s">
        <v>1401</v>
      </c>
      <c r="M200" s="1" t="s">
        <v>22</v>
      </c>
      <c r="N200" s="1" t="s">
        <v>81</v>
      </c>
      <c r="O200" s="1" t="s">
        <v>33</v>
      </c>
      <c r="P200" s="1" t="s">
        <v>24</v>
      </c>
      <c r="Q200" s="1" t="s">
        <v>749</v>
      </c>
      <c r="R200" s="1" t="s">
        <v>768</v>
      </c>
      <c r="S200" s="75">
        <v>44197</v>
      </c>
      <c r="T200" s="1">
        <v>0</v>
      </c>
      <c r="U200" s="1"/>
      <c r="V200" s="1" t="s">
        <v>36</v>
      </c>
      <c r="W200" s="1"/>
      <c r="X200" s="1"/>
      <c r="Y200" s="1"/>
      <c r="Z200" s="1" t="s">
        <v>1836</v>
      </c>
      <c r="AA200" s="75">
        <v>44927</v>
      </c>
      <c r="AB200" s="75">
        <v>44927</v>
      </c>
      <c r="AC200" s="88">
        <v>800000</v>
      </c>
      <c r="AD200" s="88">
        <v>20604000</v>
      </c>
    </row>
    <row r="201" spans="1:30" ht="17.399999999999999" customHeight="1" x14ac:dyDescent="0.4">
      <c r="A201" s="29">
        <v>198</v>
      </c>
      <c r="B201" s="29" t="str">
        <f t="shared" si="12"/>
        <v>200</v>
      </c>
      <c r="C201" s="29" t="str">
        <f t="shared" si="13"/>
        <v>C</v>
      </c>
      <c r="D201" s="29" t="str">
        <f t="shared" si="14"/>
        <v>B</v>
      </c>
      <c r="E201" s="29" t="str">
        <f t="shared" si="15"/>
        <v>F</v>
      </c>
      <c r="F201" s="1" t="s">
        <v>769</v>
      </c>
      <c r="G201" s="1" t="s">
        <v>675</v>
      </c>
      <c r="H201" s="1" t="s">
        <v>359</v>
      </c>
      <c r="I201" s="1" t="s">
        <v>19</v>
      </c>
      <c r="J201" s="1" t="s">
        <v>676</v>
      </c>
      <c r="K201" s="1" t="s">
        <v>1990</v>
      </c>
      <c r="L201" s="1" t="s">
        <v>1402</v>
      </c>
      <c r="M201" s="1" t="s">
        <v>22</v>
      </c>
      <c r="N201" s="1" t="s">
        <v>81</v>
      </c>
      <c r="O201" s="1" t="s">
        <v>33</v>
      </c>
      <c r="P201" s="1" t="s">
        <v>24</v>
      </c>
      <c r="Q201" s="1" t="s">
        <v>749</v>
      </c>
      <c r="R201" s="1" t="s">
        <v>770</v>
      </c>
      <c r="S201" s="75">
        <v>44197</v>
      </c>
      <c r="T201" s="1">
        <v>0</v>
      </c>
      <c r="U201" s="1"/>
      <c r="V201" s="1" t="s">
        <v>27</v>
      </c>
      <c r="W201" s="1" t="s">
        <v>1830</v>
      </c>
      <c r="X201" s="1" t="s">
        <v>1836</v>
      </c>
      <c r="Y201" s="1" t="s">
        <v>1856</v>
      </c>
      <c r="Z201" s="1" t="s">
        <v>1836</v>
      </c>
      <c r="AA201" s="75">
        <v>44927</v>
      </c>
      <c r="AB201" s="75">
        <v>44927</v>
      </c>
      <c r="AC201" s="88">
        <v>800000</v>
      </c>
      <c r="AD201" s="88">
        <v>20604000</v>
      </c>
    </row>
    <row r="202" spans="1:30" ht="17.399999999999999" customHeight="1" x14ac:dyDescent="0.4">
      <c r="A202" s="29">
        <v>199</v>
      </c>
      <c r="B202" s="29" t="str">
        <f t="shared" si="12"/>
        <v>201</v>
      </c>
      <c r="C202" s="29" t="str">
        <f t="shared" si="13"/>
        <v>C</v>
      </c>
      <c r="D202" s="29" t="str">
        <f t="shared" si="14"/>
        <v>B</v>
      </c>
      <c r="E202" s="29" t="str">
        <f t="shared" si="15"/>
        <v>F</v>
      </c>
      <c r="F202" s="1" t="s">
        <v>771</v>
      </c>
      <c r="G202" s="1" t="s">
        <v>675</v>
      </c>
      <c r="H202" s="1" t="s">
        <v>359</v>
      </c>
      <c r="I202" s="1" t="s">
        <v>19</v>
      </c>
      <c r="J202" s="1" t="s">
        <v>676</v>
      </c>
      <c r="K202" s="1" t="s">
        <v>1991</v>
      </c>
      <c r="L202" s="1" t="s">
        <v>1403</v>
      </c>
      <c r="M202" s="1" t="s">
        <v>22</v>
      </c>
      <c r="N202" s="1" t="s">
        <v>81</v>
      </c>
      <c r="O202" s="1" t="s">
        <v>33</v>
      </c>
      <c r="P202" s="1" t="s">
        <v>24</v>
      </c>
      <c r="Q202" s="1" t="s">
        <v>749</v>
      </c>
      <c r="R202" s="1" t="s">
        <v>772</v>
      </c>
      <c r="S202" s="75">
        <v>44805</v>
      </c>
      <c r="T202" s="1">
        <v>0</v>
      </c>
      <c r="U202" s="1"/>
      <c r="V202" s="1" t="s">
        <v>27</v>
      </c>
      <c r="W202" s="1" t="s">
        <v>1830</v>
      </c>
      <c r="X202" s="1" t="s">
        <v>1836</v>
      </c>
      <c r="Y202" s="1" t="s">
        <v>1856</v>
      </c>
      <c r="Z202" s="1" t="s">
        <v>1836</v>
      </c>
      <c r="AA202" s="75">
        <v>44927</v>
      </c>
      <c r="AB202" s="75">
        <v>44927</v>
      </c>
      <c r="AC202" s="88">
        <v>800000</v>
      </c>
      <c r="AD202" s="88">
        <v>30384000</v>
      </c>
    </row>
    <row r="203" spans="1:30" ht="17.399999999999999" customHeight="1" x14ac:dyDescent="0.4">
      <c r="A203" s="29">
        <v>200</v>
      </c>
      <c r="B203" s="29" t="str">
        <f t="shared" si="12"/>
        <v>202</v>
      </c>
      <c r="C203" s="29" t="str">
        <f t="shared" si="13"/>
        <v>C</v>
      </c>
      <c r="D203" s="29" t="str">
        <f t="shared" si="14"/>
        <v>B</v>
      </c>
      <c r="E203" s="29" t="str">
        <f t="shared" si="15"/>
        <v>F</v>
      </c>
      <c r="F203" s="1" t="s">
        <v>773</v>
      </c>
      <c r="G203" s="1" t="s">
        <v>675</v>
      </c>
      <c r="H203" s="1" t="s">
        <v>359</v>
      </c>
      <c r="I203" s="1" t="s">
        <v>19</v>
      </c>
      <c r="J203" s="1" t="s">
        <v>676</v>
      </c>
      <c r="K203" s="1" t="s">
        <v>736</v>
      </c>
      <c r="L203" s="1" t="s">
        <v>1404</v>
      </c>
      <c r="M203" s="1" t="s">
        <v>22</v>
      </c>
      <c r="N203" s="1" t="s">
        <v>81</v>
      </c>
      <c r="O203" s="1" t="s">
        <v>33</v>
      </c>
      <c r="P203" s="1" t="s">
        <v>24</v>
      </c>
      <c r="Q203" s="1" t="s">
        <v>749</v>
      </c>
      <c r="R203" s="1" t="s">
        <v>774</v>
      </c>
      <c r="S203" s="75">
        <v>44835</v>
      </c>
      <c r="T203" s="1">
        <v>0</v>
      </c>
      <c r="U203" s="1"/>
      <c r="V203" s="1" t="s">
        <v>36</v>
      </c>
      <c r="W203" s="1"/>
      <c r="X203" s="1"/>
      <c r="Y203" s="1"/>
      <c r="Z203" s="1" t="s">
        <v>1836</v>
      </c>
      <c r="AA203" s="75">
        <v>44927</v>
      </c>
      <c r="AB203" s="75">
        <v>44927</v>
      </c>
      <c r="AC203" s="88">
        <v>800000</v>
      </c>
      <c r="AD203" s="88">
        <v>30873000</v>
      </c>
    </row>
    <row r="204" spans="1:30" x14ac:dyDescent="0.4">
      <c r="A204" s="29">
        <v>201</v>
      </c>
      <c r="B204" s="29" t="str">
        <f t="shared" si="12"/>
        <v>203</v>
      </c>
      <c r="C204" s="29" t="str">
        <f t="shared" si="13"/>
        <v>E</v>
      </c>
      <c r="D204" s="29" t="str">
        <f t="shared" si="14"/>
        <v>B</v>
      </c>
      <c r="E204" s="29" t="str">
        <f t="shared" si="15"/>
        <v>T</v>
      </c>
      <c r="F204" s="1" t="s">
        <v>775</v>
      </c>
      <c r="G204" s="1" t="s">
        <v>675</v>
      </c>
      <c r="H204" s="1" t="s">
        <v>359</v>
      </c>
      <c r="I204" s="1" t="s">
        <v>19</v>
      </c>
      <c r="J204" s="1" t="s">
        <v>676</v>
      </c>
      <c r="K204" s="1" t="s">
        <v>776</v>
      </c>
      <c r="L204" s="1" t="s">
        <v>1405</v>
      </c>
      <c r="M204" s="1" t="s">
        <v>22</v>
      </c>
      <c r="N204" s="1" t="s">
        <v>1911</v>
      </c>
      <c r="O204" s="1" t="s">
        <v>129</v>
      </c>
      <c r="P204" s="1" t="s">
        <v>777</v>
      </c>
      <c r="Q204" s="1" t="s">
        <v>778</v>
      </c>
      <c r="R204" s="1" t="s">
        <v>779</v>
      </c>
      <c r="S204" s="75">
        <v>40969</v>
      </c>
      <c r="T204" s="1">
        <v>0</v>
      </c>
      <c r="U204" s="1"/>
      <c r="V204" s="1" t="s">
        <v>36</v>
      </c>
      <c r="W204" s="1"/>
      <c r="X204" s="1"/>
      <c r="Y204" s="1"/>
      <c r="Z204" s="1" t="s">
        <v>1836</v>
      </c>
      <c r="AA204" s="75">
        <v>44927</v>
      </c>
      <c r="AB204" s="75">
        <v>44927</v>
      </c>
      <c r="AC204" s="88">
        <v>500000</v>
      </c>
      <c r="AD204" s="88">
        <v>3000000</v>
      </c>
    </row>
    <row r="205" spans="1:30" x14ac:dyDescent="0.4">
      <c r="A205" s="29">
        <v>202</v>
      </c>
      <c r="B205" s="29" t="str">
        <f t="shared" si="12"/>
        <v>204</v>
      </c>
      <c r="C205" s="29" t="str">
        <f t="shared" si="13"/>
        <v>E</v>
      </c>
      <c r="D205" s="29" t="str">
        <f t="shared" si="14"/>
        <v>B</v>
      </c>
      <c r="E205" s="29" t="str">
        <f t="shared" si="15"/>
        <v>T</v>
      </c>
      <c r="F205" s="1" t="s">
        <v>780</v>
      </c>
      <c r="G205" s="1" t="s">
        <v>675</v>
      </c>
      <c r="H205" s="1" t="s">
        <v>359</v>
      </c>
      <c r="I205" s="1" t="s">
        <v>19</v>
      </c>
      <c r="J205" s="1" t="s">
        <v>676</v>
      </c>
      <c r="K205" s="1" t="s">
        <v>736</v>
      </c>
      <c r="L205" s="1" t="s">
        <v>1406</v>
      </c>
      <c r="M205" s="1" t="s">
        <v>22</v>
      </c>
      <c r="N205" s="1" t="s">
        <v>1911</v>
      </c>
      <c r="O205" s="1" t="s">
        <v>129</v>
      </c>
      <c r="P205" s="1" t="s">
        <v>777</v>
      </c>
      <c r="Q205" s="1" t="s">
        <v>778</v>
      </c>
      <c r="R205" s="1" t="s">
        <v>782</v>
      </c>
      <c r="S205" s="75">
        <v>40969</v>
      </c>
      <c r="T205" s="1">
        <v>0</v>
      </c>
      <c r="U205" s="1"/>
      <c r="V205" s="1" t="s">
        <v>36</v>
      </c>
      <c r="W205" s="1"/>
      <c r="X205" s="1"/>
      <c r="Y205" s="1"/>
      <c r="Z205" s="1" t="s">
        <v>1836</v>
      </c>
      <c r="AA205" s="75">
        <v>44927</v>
      </c>
      <c r="AB205" s="75">
        <v>44927</v>
      </c>
      <c r="AC205" s="88">
        <v>500000</v>
      </c>
      <c r="AD205" s="88">
        <v>3000000</v>
      </c>
    </row>
    <row r="206" spans="1:30" x14ac:dyDescent="0.4">
      <c r="A206" s="29">
        <v>203</v>
      </c>
      <c r="B206" s="29" t="str">
        <f t="shared" si="12"/>
        <v>205</v>
      </c>
      <c r="C206" s="29" t="str">
        <f t="shared" si="13"/>
        <v>E</v>
      </c>
      <c r="D206" s="29" t="str">
        <f t="shared" si="14"/>
        <v>B</v>
      </c>
      <c r="E206" s="29" t="str">
        <f t="shared" si="15"/>
        <v>T</v>
      </c>
      <c r="F206" s="1" t="s">
        <v>783</v>
      </c>
      <c r="G206" s="1" t="s">
        <v>675</v>
      </c>
      <c r="H206" s="1" t="s">
        <v>359</v>
      </c>
      <c r="I206" s="1" t="s">
        <v>19</v>
      </c>
      <c r="J206" s="1" t="s">
        <v>676</v>
      </c>
      <c r="K206" s="1" t="s">
        <v>781</v>
      </c>
      <c r="L206" s="1" t="s">
        <v>1407</v>
      </c>
      <c r="M206" s="1" t="s">
        <v>22</v>
      </c>
      <c r="N206" s="1" t="s">
        <v>1876</v>
      </c>
      <c r="O206" s="1" t="s">
        <v>129</v>
      </c>
      <c r="P206" s="1" t="s">
        <v>536</v>
      </c>
      <c r="Q206" s="1" t="s">
        <v>784</v>
      </c>
      <c r="R206" s="1" t="s">
        <v>785</v>
      </c>
      <c r="S206" s="75">
        <v>44501</v>
      </c>
      <c r="T206" s="1">
        <v>0</v>
      </c>
      <c r="U206" s="1"/>
      <c r="V206" s="1" t="s">
        <v>36</v>
      </c>
      <c r="W206" s="1"/>
      <c r="X206" s="1"/>
      <c r="Y206" s="1"/>
      <c r="Z206" s="1" t="s">
        <v>1836</v>
      </c>
      <c r="AA206" s="75">
        <v>44927</v>
      </c>
      <c r="AB206" s="75">
        <v>44927</v>
      </c>
      <c r="AC206" s="88">
        <v>500000</v>
      </c>
      <c r="AD206" s="88">
        <v>11669000</v>
      </c>
    </row>
    <row r="207" spans="1:30" x14ac:dyDescent="0.4">
      <c r="A207" s="29">
        <v>204</v>
      </c>
      <c r="B207" s="29" t="str">
        <f t="shared" si="12"/>
        <v>206</v>
      </c>
      <c r="C207" s="29" t="str">
        <f t="shared" si="13"/>
        <v>E</v>
      </c>
      <c r="D207" s="29" t="str">
        <f t="shared" si="14"/>
        <v>B</v>
      </c>
      <c r="E207" s="29" t="str">
        <f t="shared" si="15"/>
        <v>T</v>
      </c>
      <c r="F207" s="1" t="s">
        <v>786</v>
      </c>
      <c r="G207" s="1" t="s">
        <v>1836</v>
      </c>
      <c r="H207" s="1" t="s">
        <v>1693</v>
      </c>
      <c r="I207" s="1" t="s">
        <v>736</v>
      </c>
      <c r="J207" s="1" t="s">
        <v>31</v>
      </c>
      <c r="K207" s="1" t="s">
        <v>675</v>
      </c>
      <c r="L207" s="1" t="s">
        <v>1713</v>
      </c>
      <c r="M207" s="1" t="s">
        <v>22</v>
      </c>
      <c r="N207" s="1" t="s">
        <v>1876</v>
      </c>
      <c r="O207" s="1" t="s">
        <v>129</v>
      </c>
      <c r="P207" s="1" t="s">
        <v>787</v>
      </c>
      <c r="Q207" s="1" t="s">
        <v>788</v>
      </c>
      <c r="R207" s="1" t="s">
        <v>789</v>
      </c>
      <c r="S207" s="75">
        <v>38443</v>
      </c>
      <c r="T207" s="1">
        <v>0</v>
      </c>
      <c r="U207" s="1"/>
      <c r="V207" s="1" t="s">
        <v>36</v>
      </c>
      <c r="W207" s="1"/>
      <c r="X207" s="1"/>
      <c r="Y207" s="1"/>
      <c r="Z207" s="1" t="s">
        <v>1836</v>
      </c>
      <c r="AA207" s="75">
        <v>44927</v>
      </c>
      <c r="AB207" s="75">
        <v>45839</v>
      </c>
      <c r="AC207" s="88">
        <v>0</v>
      </c>
      <c r="AD207" s="88">
        <v>3000000</v>
      </c>
    </row>
    <row r="208" spans="1:30" x14ac:dyDescent="0.4">
      <c r="A208" s="29">
        <v>205</v>
      </c>
      <c r="B208" s="29" t="str">
        <f t="shared" si="12"/>
        <v>207</v>
      </c>
      <c r="C208" s="29" t="str">
        <f t="shared" si="13"/>
        <v>C</v>
      </c>
      <c r="D208" s="29" t="str">
        <f t="shared" si="14"/>
        <v>B</v>
      </c>
      <c r="E208" s="29" t="str">
        <f t="shared" si="15"/>
        <v>F</v>
      </c>
      <c r="F208" s="1" t="s">
        <v>790</v>
      </c>
      <c r="G208" s="1" t="s">
        <v>370</v>
      </c>
      <c r="H208" s="1" t="s">
        <v>359</v>
      </c>
      <c r="I208" s="1" t="s">
        <v>19</v>
      </c>
      <c r="J208" s="1" t="s">
        <v>31</v>
      </c>
      <c r="K208" s="1" t="s">
        <v>371</v>
      </c>
      <c r="L208" s="1" t="s">
        <v>791</v>
      </c>
      <c r="M208" s="1" t="s">
        <v>22</v>
      </c>
      <c r="N208" s="1" t="s">
        <v>118</v>
      </c>
      <c r="O208" s="1" t="s">
        <v>33</v>
      </c>
      <c r="P208" s="1" t="s">
        <v>24</v>
      </c>
      <c r="Q208" s="1" t="s">
        <v>34</v>
      </c>
      <c r="R208" s="1" t="s">
        <v>792</v>
      </c>
      <c r="S208" s="75">
        <v>44971</v>
      </c>
      <c r="T208" s="1">
        <v>0</v>
      </c>
      <c r="U208" s="1"/>
      <c r="V208" s="1" t="s">
        <v>36</v>
      </c>
      <c r="W208" s="1"/>
      <c r="X208" s="1"/>
      <c r="Y208" s="1"/>
      <c r="Z208" s="1" t="s">
        <v>1836</v>
      </c>
      <c r="AA208" s="75">
        <v>44985</v>
      </c>
      <c r="AB208" s="75">
        <v>44986</v>
      </c>
      <c r="AC208" s="88">
        <v>650000</v>
      </c>
      <c r="AD208" s="88">
        <v>31300000</v>
      </c>
    </row>
    <row r="209" spans="1:30" x14ac:dyDescent="0.4">
      <c r="A209" s="29">
        <v>206</v>
      </c>
      <c r="B209" s="29" t="str">
        <f t="shared" si="12"/>
        <v>208</v>
      </c>
      <c r="C209" s="29" t="str">
        <f t="shared" si="13"/>
        <v>C</v>
      </c>
      <c r="D209" s="29" t="str">
        <f t="shared" si="14"/>
        <v>B</v>
      </c>
      <c r="E209" s="29" t="str">
        <f t="shared" si="15"/>
        <v>F</v>
      </c>
      <c r="F209" s="1" t="s">
        <v>793</v>
      </c>
      <c r="G209" s="1" t="s">
        <v>370</v>
      </c>
      <c r="H209" s="1" t="s">
        <v>359</v>
      </c>
      <c r="I209" s="1" t="s">
        <v>19</v>
      </c>
      <c r="J209" s="1" t="s">
        <v>31</v>
      </c>
      <c r="K209" s="1" t="s">
        <v>794</v>
      </c>
      <c r="L209" s="1" t="s">
        <v>795</v>
      </c>
      <c r="M209" s="1" t="s">
        <v>22</v>
      </c>
      <c r="N209" s="1" t="s">
        <v>118</v>
      </c>
      <c r="O209" s="1" t="s">
        <v>33</v>
      </c>
      <c r="P209" s="1" t="s">
        <v>24</v>
      </c>
      <c r="Q209" s="1" t="s">
        <v>34</v>
      </c>
      <c r="R209" s="1" t="s">
        <v>796</v>
      </c>
      <c r="S209" s="75">
        <v>44971</v>
      </c>
      <c r="T209" s="1">
        <v>0</v>
      </c>
      <c r="U209" s="1"/>
      <c r="V209" s="1" t="s">
        <v>36</v>
      </c>
      <c r="W209" s="1"/>
      <c r="X209" s="1"/>
      <c r="Y209" s="1"/>
      <c r="Z209" s="1" t="s">
        <v>1836</v>
      </c>
      <c r="AA209" s="75">
        <v>44985</v>
      </c>
      <c r="AB209" s="75">
        <v>44986</v>
      </c>
      <c r="AC209" s="88">
        <v>650000</v>
      </c>
      <c r="AD209" s="88">
        <v>31300000</v>
      </c>
    </row>
    <row r="210" spans="1:30" x14ac:dyDescent="0.4">
      <c r="A210" s="29">
        <v>207</v>
      </c>
      <c r="B210" s="29" t="str">
        <f t="shared" si="12"/>
        <v>209</v>
      </c>
      <c r="C210" s="29" t="str">
        <f t="shared" si="13"/>
        <v>C</v>
      </c>
      <c r="D210" s="29" t="str">
        <f t="shared" si="14"/>
        <v>B</v>
      </c>
      <c r="E210" s="29" t="str">
        <f t="shared" si="15"/>
        <v>F</v>
      </c>
      <c r="F210" s="1" t="s">
        <v>797</v>
      </c>
      <c r="G210" s="1" t="s">
        <v>370</v>
      </c>
      <c r="H210" s="1" t="s">
        <v>359</v>
      </c>
      <c r="I210" s="1" t="s">
        <v>19</v>
      </c>
      <c r="J210" s="1" t="s">
        <v>31</v>
      </c>
      <c r="K210" s="1" t="s">
        <v>371</v>
      </c>
      <c r="L210" s="1" t="s">
        <v>798</v>
      </c>
      <c r="M210" s="1" t="s">
        <v>22</v>
      </c>
      <c r="N210" s="1" t="s">
        <v>118</v>
      </c>
      <c r="O210" s="1" t="s">
        <v>33</v>
      </c>
      <c r="P210" s="1" t="s">
        <v>24</v>
      </c>
      <c r="Q210" s="1" t="s">
        <v>34</v>
      </c>
      <c r="R210" s="1" t="s">
        <v>799</v>
      </c>
      <c r="S210" s="75">
        <v>44971</v>
      </c>
      <c r="T210" s="1">
        <v>0</v>
      </c>
      <c r="U210" s="1"/>
      <c r="V210" s="1" t="s">
        <v>36</v>
      </c>
      <c r="W210" s="1"/>
      <c r="X210" s="1"/>
      <c r="Y210" s="1"/>
      <c r="Z210" s="1" t="s">
        <v>1836</v>
      </c>
      <c r="AA210" s="75">
        <v>44985</v>
      </c>
      <c r="AB210" s="75">
        <v>44986</v>
      </c>
      <c r="AC210" s="88">
        <v>650000</v>
      </c>
      <c r="AD210" s="88">
        <v>31300000</v>
      </c>
    </row>
    <row r="211" spans="1:30" x14ac:dyDescent="0.4">
      <c r="A211" s="29">
        <v>208</v>
      </c>
      <c r="B211" s="29" t="str">
        <f t="shared" si="12"/>
        <v>210</v>
      </c>
      <c r="C211" s="29" t="str">
        <f t="shared" si="13"/>
        <v>C</v>
      </c>
      <c r="D211" s="29" t="str">
        <f t="shared" si="14"/>
        <v>B</v>
      </c>
      <c r="E211" s="29" t="str">
        <f t="shared" si="15"/>
        <v>F</v>
      </c>
      <c r="F211" s="1" t="s">
        <v>800</v>
      </c>
      <c r="G211" s="1" t="s">
        <v>370</v>
      </c>
      <c r="H211" s="1" t="s">
        <v>359</v>
      </c>
      <c r="I211" s="1" t="s">
        <v>19</v>
      </c>
      <c r="J211" s="1" t="s">
        <v>31</v>
      </c>
      <c r="K211" s="1" t="s">
        <v>794</v>
      </c>
      <c r="L211" s="1" t="s">
        <v>801</v>
      </c>
      <c r="M211" s="1" t="s">
        <v>22</v>
      </c>
      <c r="N211" s="1" t="s">
        <v>118</v>
      </c>
      <c r="O211" s="1" t="s">
        <v>33</v>
      </c>
      <c r="P211" s="1" t="s">
        <v>24</v>
      </c>
      <c r="Q211" s="1" t="s">
        <v>34</v>
      </c>
      <c r="R211" s="1" t="s">
        <v>802</v>
      </c>
      <c r="S211" s="75">
        <v>44971</v>
      </c>
      <c r="T211" s="1">
        <v>0</v>
      </c>
      <c r="U211" s="1"/>
      <c r="V211" s="1" t="s">
        <v>36</v>
      </c>
      <c r="W211" s="1"/>
      <c r="X211" s="1"/>
      <c r="Y211" s="1"/>
      <c r="Z211" s="1" t="s">
        <v>1836</v>
      </c>
      <c r="AA211" s="75">
        <v>44985</v>
      </c>
      <c r="AB211" s="75">
        <v>44986</v>
      </c>
      <c r="AC211" s="88">
        <v>650000</v>
      </c>
      <c r="AD211" s="88">
        <v>31300000</v>
      </c>
    </row>
    <row r="212" spans="1:30" x14ac:dyDescent="0.4">
      <c r="A212" s="29">
        <v>209</v>
      </c>
      <c r="B212" s="29" t="str">
        <f t="shared" si="12"/>
        <v>211</v>
      </c>
      <c r="C212" s="29" t="str">
        <f t="shared" si="13"/>
        <v>C</v>
      </c>
      <c r="D212" s="29" t="str">
        <f t="shared" si="14"/>
        <v>B</v>
      </c>
      <c r="E212" s="29" t="str">
        <f t="shared" si="15"/>
        <v>F</v>
      </c>
      <c r="F212" s="1" t="s">
        <v>803</v>
      </c>
      <c r="G212" s="1" t="s">
        <v>38</v>
      </c>
      <c r="H212" s="1" t="s">
        <v>45</v>
      </c>
      <c r="I212" s="1" t="s">
        <v>19</v>
      </c>
      <c r="J212" s="1" t="s">
        <v>39</v>
      </c>
      <c r="K212" s="1"/>
      <c r="L212" s="1" t="s">
        <v>804</v>
      </c>
      <c r="M212" s="1" t="s">
        <v>22</v>
      </c>
      <c r="N212" s="1" t="s">
        <v>118</v>
      </c>
      <c r="O212" s="1" t="s">
        <v>55</v>
      </c>
      <c r="P212" s="1" t="s">
        <v>24</v>
      </c>
      <c r="Q212" s="1" t="s">
        <v>805</v>
      </c>
      <c r="R212" s="1" t="s">
        <v>806</v>
      </c>
      <c r="S212" s="75">
        <v>44978</v>
      </c>
      <c r="T212" s="1">
        <v>0</v>
      </c>
      <c r="U212" s="1"/>
      <c r="V212" s="1" t="s">
        <v>27</v>
      </c>
      <c r="W212" s="1" t="s">
        <v>1830</v>
      </c>
      <c r="X212" s="1" t="s">
        <v>45</v>
      </c>
      <c r="Y212" s="1" t="s">
        <v>2033</v>
      </c>
      <c r="Z212" s="1" t="s">
        <v>45</v>
      </c>
      <c r="AA212" s="75">
        <v>44979</v>
      </c>
      <c r="AB212" s="75">
        <v>44985</v>
      </c>
      <c r="AC212" s="88">
        <v>800000</v>
      </c>
      <c r="AD212" s="88">
        <v>32600000</v>
      </c>
    </row>
    <row r="213" spans="1:30" x14ac:dyDescent="0.4">
      <c r="A213" s="29">
        <v>210</v>
      </c>
      <c r="B213" s="29" t="str">
        <f t="shared" si="12"/>
        <v>212</v>
      </c>
      <c r="C213" s="29" t="str">
        <f t="shared" si="13"/>
        <v>D</v>
      </c>
      <c r="D213" s="29" t="str">
        <f t="shared" si="14"/>
        <v>B</v>
      </c>
      <c r="E213" s="29" t="str">
        <f t="shared" si="15"/>
        <v>F</v>
      </c>
      <c r="F213" s="1" t="s">
        <v>807</v>
      </c>
      <c r="G213" s="1" t="s">
        <v>154</v>
      </c>
      <c r="H213" s="1" t="s">
        <v>121</v>
      </c>
      <c r="I213" s="1" t="s">
        <v>19</v>
      </c>
      <c r="J213" s="1" t="s">
        <v>31</v>
      </c>
      <c r="K213" s="1" t="s">
        <v>121</v>
      </c>
      <c r="L213" s="1" t="s">
        <v>2020</v>
      </c>
      <c r="M213" s="1" t="s">
        <v>22</v>
      </c>
      <c r="N213" s="1" t="s">
        <v>118</v>
      </c>
      <c r="O213" s="1" t="s">
        <v>55</v>
      </c>
      <c r="P213" s="1" t="s">
        <v>41</v>
      </c>
      <c r="Q213" s="1" t="s">
        <v>808</v>
      </c>
      <c r="R213" s="1" t="s">
        <v>809</v>
      </c>
      <c r="S213" s="75">
        <v>38480</v>
      </c>
      <c r="T213" s="1">
        <v>0</v>
      </c>
      <c r="U213" s="1"/>
      <c r="V213" s="1" t="s">
        <v>36</v>
      </c>
      <c r="W213" s="1"/>
      <c r="X213" s="1"/>
      <c r="Y213" s="1"/>
      <c r="Z213" s="1" t="s">
        <v>1836</v>
      </c>
      <c r="AA213" s="75">
        <v>41091</v>
      </c>
      <c r="AB213" s="75">
        <v>46023</v>
      </c>
      <c r="AC213" s="88">
        <v>600000</v>
      </c>
      <c r="AD213" s="88">
        <v>14000000</v>
      </c>
    </row>
    <row r="214" spans="1:30" ht="17.399999999999999" customHeight="1" x14ac:dyDescent="0.4">
      <c r="A214" s="29">
        <v>211</v>
      </c>
      <c r="B214" s="29" t="str">
        <f t="shared" si="12"/>
        <v>213</v>
      </c>
      <c r="C214" s="29" t="str">
        <f t="shared" si="13"/>
        <v>D</v>
      </c>
      <c r="D214" s="29" t="str">
        <f t="shared" si="14"/>
        <v>O</v>
      </c>
      <c r="E214" s="29" t="str">
        <f t="shared" si="15"/>
        <v>F</v>
      </c>
      <c r="F214" s="1" t="s">
        <v>810</v>
      </c>
      <c r="G214" s="1" t="s">
        <v>429</v>
      </c>
      <c r="H214" s="1" t="s">
        <v>1695</v>
      </c>
      <c r="I214" s="1" t="s">
        <v>19</v>
      </c>
      <c r="J214" s="1" t="s">
        <v>428</v>
      </c>
      <c r="K214" s="1" t="s">
        <v>429</v>
      </c>
      <c r="L214" s="1" t="s">
        <v>2062</v>
      </c>
      <c r="M214" s="1" t="s">
        <v>22</v>
      </c>
      <c r="N214" s="1" t="s">
        <v>118</v>
      </c>
      <c r="O214" s="1" t="s">
        <v>23</v>
      </c>
      <c r="P214" s="1" t="s">
        <v>41</v>
      </c>
      <c r="Q214" s="1" t="s">
        <v>811</v>
      </c>
      <c r="R214" s="1" t="s">
        <v>812</v>
      </c>
      <c r="S214" s="75">
        <v>44986</v>
      </c>
      <c r="T214" s="1">
        <v>0</v>
      </c>
      <c r="U214" s="1" t="s">
        <v>813</v>
      </c>
      <c r="V214" s="1" t="s">
        <v>27</v>
      </c>
      <c r="W214" s="1" t="s">
        <v>1830</v>
      </c>
      <c r="X214" s="1" t="s">
        <v>45</v>
      </c>
      <c r="Y214" s="1" t="s">
        <v>1845</v>
      </c>
      <c r="Z214" s="1" t="s">
        <v>45</v>
      </c>
      <c r="AA214" s="75">
        <v>44998</v>
      </c>
      <c r="AB214" s="75">
        <v>46102</v>
      </c>
      <c r="AC214" s="88">
        <v>900000</v>
      </c>
      <c r="AD214" s="88">
        <v>38520000</v>
      </c>
    </row>
    <row r="215" spans="1:30" ht="17.399999999999999" customHeight="1" x14ac:dyDescent="0.4">
      <c r="A215" s="29">
        <v>212</v>
      </c>
      <c r="B215" s="29" t="str">
        <f t="shared" si="12"/>
        <v>214</v>
      </c>
      <c r="C215" s="29" t="str">
        <f t="shared" si="13"/>
        <v>C</v>
      </c>
      <c r="D215" s="29" t="str">
        <f t="shared" si="14"/>
        <v>B</v>
      </c>
      <c r="E215" s="29" t="str">
        <f t="shared" si="15"/>
        <v>H</v>
      </c>
      <c r="F215" s="1" t="s">
        <v>1912</v>
      </c>
      <c r="G215" s="1" t="s">
        <v>486</v>
      </c>
      <c r="H215" s="1" t="s">
        <v>45</v>
      </c>
      <c r="I215" s="1" t="s">
        <v>19</v>
      </c>
      <c r="J215" s="1" t="s">
        <v>39</v>
      </c>
      <c r="K215" s="1" t="s">
        <v>486</v>
      </c>
      <c r="L215" s="1" t="s">
        <v>814</v>
      </c>
      <c r="M215" s="1" t="s">
        <v>22</v>
      </c>
      <c r="N215" s="1" t="s">
        <v>1886</v>
      </c>
      <c r="O215" s="1" t="s">
        <v>55</v>
      </c>
      <c r="P215" s="1" t="s">
        <v>24</v>
      </c>
      <c r="Q215" s="1"/>
      <c r="R215" s="1" t="s">
        <v>815</v>
      </c>
      <c r="S215" s="75">
        <v>44986</v>
      </c>
      <c r="T215" s="1">
        <v>0</v>
      </c>
      <c r="U215" s="1"/>
      <c r="V215" s="1" t="s">
        <v>36</v>
      </c>
      <c r="W215" s="1"/>
      <c r="X215" s="1"/>
      <c r="Y215" s="1"/>
      <c r="Z215" s="1" t="s">
        <v>45</v>
      </c>
      <c r="AA215" s="75">
        <v>44998</v>
      </c>
      <c r="AB215" s="75">
        <v>44998</v>
      </c>
      <c r="AC215" s="88">
        <v>500000</v>
      </c>
      <c r="AD215" s="88">
        <v>15290000</v>
      </c>
    </row>
    <row r="216" spans="1:30" ht="17.399999999999999" customHeight="1" x14ac:dyDescent="0.4">
      <c r="A216" s="29">
        <v>213</v>
      </c>
      <c r="B216" s="29" t="str">
        <f t="shared" si="12"/>
        <v>215</v>
      </c>
      <c r="C216" s="29" t="str">
        <f t="shared" si="13"/>
        <v>C</v>
      </c>
      <c r="D216" s="29" t="str">
        <f t="shared" si="14"/>
        <v>B</v>
      </c>
      <c r="E216" s="29" t="str">
        <f t="shared" si="15"/>
        <v>H</v>
      </c>
      <c r="F216" s="1" t="s">
        <v>1913</v>
      </c>
      <c r="G216" s="1" t="s">
        <v>486</v>
      </c>
      <c r="H216" s="1" t="s">
        <v>45</v>
      </c>
      <c r="I216" s="1" t="s">
        <v>19</v>
      </c>
      <c r="J216" s="1" t="s">
        <v>39</v>
      </c>
      <c r="K216" s="1" t="s">
        <v>486</v>
      </c>
      <c r="L216" s="1" t="s">
        <v>816</v>
      </c>
      <c r="M216" s="1" t="s">
        <v>22</v>
      </c>
      <c r="N216" s="1" t="s">
        <v>1886</v>
      </c>
      <c r="O216" s="1" t="s">
        <v>55</v>
      </c>
      <c r="P216" s="1" t="s">
        <v>24</v>
      </c>
      <c r="Q216" s="1"/>
      <c r="R216" s="1" t="s">
        <v>817</v>
      </c>
      <c r="S216" s="75">
        <v>44986</v>
      </c>
      <c r="T216" s="1">
        <v>0</v>
      </c>
      <c r="U216" s="1"/>
      <c r="V216" s="1" t="s">
        <v>36</v>
      </c>
      <c r="W216" s="1"/>
      <c r="X216" s="1"/>
      <c r="Y216" s="1"/>
      <c r="Z216" s="1" t="s">
        <v>45</v>
      </c>
      <c r="AA216" s="75">
        <v>44998</v>
      </c>
      <c r="AB216" s="75">
        <v>44998</v>
      </c>
      <c r="AC216" s="88">
        <v>500000</v>
      </c>
      <c r="AD216" s="88">
        <v>15290000</v>
      </c>
    </row>
    <row r="217" spans="1:30" ht="17.399999999999999" customHeight="1" x14ac:dyDescent="0.4">
      <c r="A217" s="29">
        <v>214</v>
      </c>
      <c r="B217" s="29" t="str">
        <f t="shared" si="12"/>
        <v>216</v>
      </c>
      <c r="C217" s="29" t="str">
        <f t="shared" si="13"/>
        <v>D</v>
      </c>
      <c r="D217" s="29" t="str">
        <f t="shared" si="14"/>
        <v>O</v>
      </c>
      <c r="E217" s="29" t="str">
        <f t="shared" si="15"/>
        <v>F</v>
      </c>
      <c r="F217" s="1" t="s">
        <v>818</v>
      </c>
      <c r="G217" s="1" t="s">
        <v>38</v>
      </c>
      <c r="H217" s="1" t="s">
        <v>45</v>
      </c>
      <c r="I217" s="1" t="s">
        <v>19</v>
      </c>
      <c r="J217" s="1" t="s">
        <v>39</v>
      </c>
      <c r="K217" s="1"/>
      <c r="L217" s="1" t="s">
        <v>819</v>
      </c>
      <c r="M217" s="1" t="s">
        <v>22</v>
      </c>
      <c r="N217" s="1" t="s">
        <v>118</v>
      </c>
      <c r="O217" s="1" t="s">
        <v>317</v>
      </c>
      <c r="P217" s="1" t="s">
        <v>41</v>
      </c>
      <c r="Q217" s="1" t="s">
        <v>820</v>
      </c>
      <c r="R217" s="1" t="s">
        <v>821</v>
      </c>
      <c r="S217" s="75">
        <v>44927</v>
      </c>
      <c r="T217" s="1">
        <v>0</v>
      </c>
      <c r="U217" s="1" t="s">
        <v>822</v>
      </c>
      <c r="V217" s="1" t="s">
        <v>27</v>
      </c>
      <c r="W217" s="1" t="s">
        <v>1830</v>
      </c>
      <c r="X217" s="1" t="s">
        <v>45</v>
      </c>
      <c r="Y217" s="1" t="s">
        <v>1837</v>
      </c>
      <c r="Z217" s="1" t="s">
        <v>45</v>
      </c>
      <c r="AA217" s="75">
        <v>45017</v>
      </c>
      <c r="AB217" s="75">
        <v>45017</v>
      </c>
      <c r="AC217" s="88">
        <v>870000</v>
      </c>
      <c r="AD217" s="88">
        <v>42370000</v>
      </c>
    </row>
    <row r="218" spans="1:30" ht="17.399999999999999" customHeight="1" x14ac:dyDescent="0.4">
      <c r="A218" s="29">
        <v>215</v>
      </c>
      <c r="B218" s="29" t="str">
        <f t="shared" si="12"/>
        <v>217</v>
      </c>
      <c r="C218" s="29" t="str">
        <f t="shared" si="13"/>
        <v>D</v>
      </c>
      <c r="D218" s="29" t="str">
        <f t="shared" si="14"/>
        <v>O</v>
      </c>
      <c r="E218" s="29" t="str">
        <f t="shared" si="15"/>
        <v>F</v>
      </c>
      <c r="F218" s="1" t="s">
        <v>823</v>
      </c>
      <c r="G218" s="1" t="s">
        <v>38</v>
      </c>
      <c r="H218" s="1" t="s">
        <v>45</v>
      </c>
      <c r="I218" s="1" t="s">
        <v>19</v>
      </c>
      <c r="J218" s="1" t="s">
        <v>39</v>
      </c>
      <c r="K218" s="1"/>
      <c r="L218" s="1" t="s">
        <v>824</v>
      </c>
      <c r="M218" s="1" t="s">
        <v>22</v>
      </c>
      <c r="N218" s="1" t="s">
        <v>118</v>
      </c>
      <c r="O218" s="1" t="s">
        <v>317</v>
      </c>
      <c r="P218" s="1" t="s">
        <v>41</v>
      </c>
      <c r="Q218" s="1" t="s">
        <v>820</v>
      </c>
      <c r="R218" s="1" t="s">
        <v>825</v>
      </c>
      <c r="S218" s="75">
        <v>44927</v>
      </c>
      <c r="T218" s="1">
        <v>0</v>
      </c>
      <c r="U218" s="1" t="s">
        <v>826</v>
      </c>
      <c r="V218" s="1" t="s">
        <v>27</v>
      </c>
      <c r="W218" s="1" t="s">
        <v>1830</v>
      </c>
      <c r="X218" s="1" t="s">
        <v>45</v>
      </c>
      <c r="Y218" s="1" t="s">
        <v>1837</v>
      </c>
      <c r="Z218" s="1" t="s">
        <v>45</v>
      </c>
      <c r="AA218" s="75">
        <v>45017</v>
      </c>
      <c r="AB218" s="75">
        <v>45017</v>
      </c>
      <c r="AC218" s="88">
        <v>870000</v>
      </c>
      <c r="AD218" s="88">
        <v>42370000</v>
      </c>
    </row>
    <row r="219" spans="1:30" ht="17.399999999999999" customHeight="1" x14ac:dyDescent="0.4">
      <c r="A219" s="29">
        <v>216</v>
      </c>
      <c r="B219" s="29" t="str">
        <f t="shared" si="12"/>
        <v>218</v>
      </c>
      <c r="C219" s="29" t="str">
        <f t="shared" si="13"/>
        <v>D</v>
      </c>
      <c r="D219" s="29" t="str">
        <f t="shared" si="14"/>
        <v>O</v>
      </c>
      <c r="E219" s="29" t="str">
        <f t="shared" si="15"/>
        <v>F</v>
      </c>
      <c r="F219" s="1" t="s">
        <v>827</v>
      </c>
      <c r="G219" s="1" t="s">
        <v>259</v>
      </c>
      <c r="H219" s="1" t="s">
        <v>265</v>
      </c>
      <c r="I219" s="1" t="s">
        <v>19</v>
      </c>
      <c r="J219" s="1" t="s">
        <v>31</v>
      </c>
      <c r="K219" s="1" t="s">
        <v>271</v>
      </c>
      <c r="L219" s="1" t="s">
        <v>828</v>
      </c>
      <c r="M219" s="1" t="s">
        <v>22</v>
      </c>
      <c r="N219" s="1" t="s">
        <v>118</v>
      </c>
      <c r="O219" s="1" t="s">
        <v>262</v>
      </c>
      <c r="P219" s="1" t="s">
        <v>41</v>
      </c>
      <c r="Q219" s="1" t="s">
        <v>829</v>
      </c>
      <c r="R219" s="1" t="s">
        <v>830</v>
      </c>
      <c r="S219" s="75">
        <v>44927</v>
      </c>
      <c r="T219" s="1">
        <v>0</v>
      </c>
      <c r="U219" s="1" t="s">
        <v>831</v>
      </c>
      <c r="V219" s="1" t="s">
        <v>36</v>
      </c>
      <c r="W219" s="1"/>
      <c r="X219" s="1"/>
      <c r="Y219" s="1"/>
      <c r="Z219" s="1" t="s">
        <v>1836</v>
      </c>
      <c r="AA219" s="75">
        <v>45017</v>
      </c>
      <c r="AB219" s="75">
        <v>45017</v>
      </c>
      <c r="AC219" s="88">
        <v>6000000</v>
      </c>
      <c r="AD219" s="88">
        <v>161600000</v>
      </c>
    </row>
    <row r="220" spans="1:30" ht="17.399999999999999" customHeight="1" x14ac:dyDescent="0.4">
      <c r="A220" s="29">
        <v>217</v>
      </c>
      <c r="B220" s="29" t="str">
        <f t="shared" si="12"/>
        <v>219</v>
      </c>
      <c r="C220" s="29" t="str">
        <f t="shared" si="13"/>
        <v>D</v>
      </c>
      <c r="D220" s="29" t="str">
        <f t="shared" si="14"/>
        <v>O</v>
      </c>
      <c r="E220" s="29" t="str">
        <f t="shared" si="15"/>
        <v>F</v>
      </c>
      <c r="F220" s="1" t="s">
        <v>832</v>
      </c>
      <c r="G220" s="1" t="s">
        <v>833</v>
      </c>
      <c r="H220" s="1" t="s">
        <v>1695</v>
      </c>
      <c r="I220" s="1" t="s">
        <v>19</v>
      </c>
      <c r="J220" s="1" t="s">
        <v>31</v>
      </c>
      <c r="K220" s="1" t="s">
        <v>201</v>
      </c>
      <c r="L220" s="1" t="s">
        <v>834</v>
      </c>
      <c r="M220" s="1" t="s">
        <v>22</v>
      </c>
      <c r="N220" s="1" t="s">
        <v>118</v>
      </c>
      <c r="O220" s="1" t="s">
        <v>339</v>
      </c>
      <c r="P220" s="1" t="s">
        <v>41</v>
      </c>
      <c r="Q220" s="1" t="s">
        <v>835</v>
      </c>
      <c r="R220" s="1" t="s">
        <v>836</v>
      </c>
      <c r="S220" s="75">
        <v>44927</v>
      </c>
      <c r="T220" s="1">
        <v>0</v>
      </c>
      <c r="U220" s="1" t="s">
        <v>837</v>
      </c>
      <c r="V220" s="1" t="s">
        <v>27</v>
      </c>
      <c r="W220" s="1" t="s">
        <v>1830</v>
      </c>
      <c r="X220" s="1" t="s">
        <v>1836</v>
      </c>
      <c r="Y220" s="1" t="s">
        <v>1845</v>
      </c>
      <c r="Z220" s="1" t="s">
        <v>1836</v>
      </c>
      <c r="AA220" s="75">
        <v>45026</v>
      </c>
      <c r="AB220" s="75">
        <v>45026</v>
      </c>
      <c r="AC220" s="88">
        <v>1522500</v>
      </c>
      <c r="AD220" s="88">
        <v>58260000</v>
      </c>
    </row>
    <row r="221" spans="1:30" x14ac:dyDescent="0.4">
      <c r="A221" s="29">
        <v>218</v>
      </c>
      <c r="B221" s="29" t="str">
        <f t="shared" si="12"/>
        <v>220</v>
      </c>
      <c r="C221" s="29" t="str">
        <f t="shared" si="13"/>
        <v>D</v>
      </c>
      <c r="D221" s="29" t="str">
        <f t="shared" si="14"/>
        <v>O</v>
      </c>
      <c r="E221" s="29" t="str">
        <f t="shared" si="15"/>
        <v>F</v>
      </c>
      <c r="F221" s="1" t="s">
        <v>838</v>
      </c>
      <c r="G221" s="1" t="s">
        <v>833</v>
      </c>
      <c r="H221" s="1" t="s">
        <v>1695</v>
      </c>
      <c r="I221" s="1" t="s">
        <v>19</v>
      </c>
      <c r="J221" s="1" t="s">
        <v>31</v>
      </c>
      <c r="K221" s="1" t="s">
        <v>839</v>
      </c>
      <c r="L221" s="1" t="s">
        <v>840</v>
      </c>
      <c r="M221" s="1" t="s">
        <v>22</v>
      </c>
      <c r="N221" s="1" t="s">
        <v>118</v>
      </c>
      <c r="O221" s="1" t="s">
        <v>282</v>
      </c>
      <c r="P221" s="1" t="s">
        <v>41</v>
      </c>
      <c r="Q221" s="1" t="s">
        <v>841</v>
      </c>
      <c r="R221" s="1" t="s">
        <v>842</v>
      </c>
      <c r="S221" s="75">
        <v>44927</v>
      </c>
      <c r="T221" s="1">
        <v>0</v>
      </c>
      <c r="U221" s="1" t="s">
        <v>843</v>
      </c>
      <c r="V221" s="1" t="s">
        <v>27</v>
      </c>
      <c r="W221" s="1" t="s">
        <v>1830</v>
      </c>
      <c r="X221" s="1" t="s">
        <v>1836</v>
      </c>
      <c r="Y221" s="1" t="s">
        <v>1845</v>
      </c>
      <c r="Z221" s="1" t="s">
        <v>1836</v>
      </c>
      <c r="AA221" s="75">
        <v>45026</v>
      </c>
      <c r="AB221" s="75">
        <v>45026</v>
      </c>
      <c r="AC221" s="88">
        <v>1890000</v>
      </c>
      <c r="AD221" s="88">
        <v>76210000</v>
      </c>
    </row>
    <row r="222" spans="1:30" x14ac:dyDescent="0.4">
      <c r="A222" s="29">
        <v>219</v>
      </c>
      <c r="B222" s="29" t="str">
        <f t="shared" si="12"/>
        <v>221</v>
      </c>
      <c r="C222" s="29" t="str">
        <f t="shared" si="13"/>
        <v>D</v>
      </c>
      <c r="D222" s="29" t="str">
        <f t="shared" si="14"/>
        <v>O</v>
      </c>
      <c r="E222" s="29" t="str">
        <f t="shared" si="15"/>
        <v>F</v>
      </c>
      <c r="F222" s="1" t="s">
        <v>844</v>
      </c>
      <c r="G222" s="1" t="s">
        <v>833</v>
      </c>
      <c r="H222" s="1" t="s">
        <v>1695</v>
      </c>
      <c r="I222" s="1" t="s">
        <v>19</v>
      </c>
      <c r="J222" s="1" t="s">
        <v>31</v>
      </c>
      <c r="K222" s="1" t="s">
        <v>845</v>
      </c>
      <c r="L222" s="1" t="s">
        <v>846</v>
      </c>
      <c r="M222" s="1" t="s">
        <v>220</v>
      </c>
      <c r="N222" s="1" t="s">
        <v>118</v>
      </c>
      <c r="O222" s="1" t="s">
        <v>345</v>
      </c>
      <c r="P222" s="1" t="s">
        <v>41</v>
      </c>
      <c r="Q222" s="1" t="s">
        <v>847</v>
      </c>
      <c r="R222" s="1" t="s">
        <v>848</v>
      </c>
      <c r="S222" s="75">
        <v>44927</v>
      </c>
      <c r="T222" s="1">
        <v>0</v>
      </c>
      <c r="U222" s="1" t="s">
        <v>849</v>
      </c>
      <c r="V222" s="1" t="s">
        <v>27</v>
      </c>
      <c r="W222" s="1" t="s">
        <v>1830</v>
      </c>
      <c r="X222" s="1" t="s">
        <v>1836</v>
      </c>
      <c r="Y222" s="1" t="s">
        <v>1845</v>
      </c>
      <c r="Z222" s="1" t="s">
        <v>1836</v>
      </c>
      <c r="AA222" s="75">
        <v>45026</v>
      </c>
      <c r="AB222" s="75">
        <v>45026</v>
      </c>
      <c r="AC222" s="88">
        <v>1942500</v>
      </c>
      <c r="AD222" s="88">
        <v>87350000</v>
      </c>
    </row>
    <row r="223" spans="1:30" x14ac:dyDescent="0.4">
      <c r="A223" s="29">
        <v>220</v>
      </c>
      <c r="B223" s="29" t="str">
        <f t="shared" si="12"/>
        <v>222</v>
      </c>
      <c r="C223" s="29" t="str">
        <f t="shared" si="13"/>
        <v>S</v>
      </c>
      <c r="D223" s="29" t="str">
        <f t="shared" si="14"/>
        <v>B</v>
      </c>
      <c r="E223" s="29" t="str">
        <f t="shared" si="15"/>
        <v>H</v>
      </c>
      <c r="F223" s="1" t="s">
        <v>1914</v>
      </c>
      <c r="G223" s="1" t="s">
        <v>486</v>
      </c>
      <c r="H223" s="1" t="s">
        <v>45</v>
      </c>
      <c r="I223" s="1" t="s">
        <v>19</v>
      </c>
      <c r="J223" s="1" t="s">
        <v>39</v>
      </c>
      <c r="K223" s="1" t="s">
        <v>486</v>
      </c>
      <c r="L223" s="1" t="s">
        <v>1715</v>
      </c>
      <c r="M223" s="1" t="s">
        <v>22</v>
      </c>
      <c r="N223" s="1" t="s">
        <v>1886</v>
      </c>
      <c r="O223" s="1" t="s">
        <v>129</v>
      </c>
      <c r="P223" s="1" t="s">
        <v>613</v>
      </c>
      <c r="Q223" s="1"/>
      <c r="R223" s="1" t="s">
        <v>850</v>
      </c>
      <c r="S223" s="75">
        <v>45047</v>
      </c>
      <c r="T223" s="1">
        <v>0</v>
      </c>
      <c r="U223" s="1"/>
      <c r="V223" s="1" t="s">
        <v>36</v>
      </c>
      <c r="W223" s="1"/>
      <c r="X223" s="1"/>
      <c r="Y223" s="1"/>
      <c r="Z223" s="1" t="s">
        <v>45</v>
      </c>
      <c r="AA223" s="75">
        <v>45070</v>
      </c>
      <c r="AB223" s="75">
        <v>45070</v>
      </c>
      <c r="AC223" s="88">
        <v>480000</v>
      </c>
      <c r="AD223" s="88">
        <v>15300000</v>
      </c>
    </row>
    <row r="224" spans="1:30" x14ac:dyDescent="0.4">
      <c r="A224" s="29">
        <v>221</v>
      </c>
      <c r="B224" s="29" t="str">
        <f t="shared" si="12"/>
        <v>223</v>
      </c>
      <c r="C224" s="29" t="str">
        <f t="shared" si="13"/>
        <v>S</v>
      </c>
      <c r="D224" s="29" t="str">
        <f t="shared" si="14"/>
        <v>B</v>
      </c>
      <c r="E224" s="29" t="str">
        <f t="shared" si="15"/>
        <v>H</v>
      </c>
      <c r="F224" s="1" t="s">
        <v>1915</v>
      </c>
      <c r="G224" s="1" t="s">
        <v>486</v>
      </c>
      <c r="H224" s="1" t="s">
        <v>45</v>
      </c>
      <c r="I224" s="1" t="s">
        <v>19</v>
      </c>
      <c r="J224" s="1" t="s">
        <v>39</v>
      </c>
      <c r="K224" s="1" t="s">
        <v>486</v>
      </c>
      <c r="L224" s="1" t="s">
        <v>851</v>
      </c>
      <c r="M224" s="1" t="s">
        <v>22</v>
      </c>
      <c r="N224" s="1" t="s">
        <v>1886</v>
      </c>
      <c r="O224" s="1" t="s">
        <v>129</v>
      </c>
      <c r="P224" s="1" t="s">
        <v>613</v>
      </c>
      <c r="Q224" s="1"/>
      <c r="R224" s="1" t="s">
        <v>852</v>
      </c>
      <c r="S224" s="75">
        <v>45047</v>
      </c>
      <c r="T224" s="1">
        <v>0</v>
      </c>
      <c r="U224" s="1"/>
      <c r="V224" s="1" t="s">
        <v>36</v>
      </c>
      <c r="W224" s="1"/>
      <c r="X224" s="1"/>
      <c r="Y224" s="1"/>
      <c r="Z224" s="1" t="s">
        <v>45</v>
      </c>
      <c r="AA224" s="75">
        <v>45070</v>
      </c>
      <c r="AB224" s="75">
        <v>45070</v>
      </c>
      <c r="AC224" s="88">
        <v>480000</v>
      </c>
      <c r="AD224" s="88">
        <v>15300000</v>
      </c>
    </row>
    <row r="225" spans="1:30" x14ac:dyDescent="0.4">
      <c r="A225" s="29">
        <v>222</v>
      </c>
      <c r="B225" s="29" t="str">
        <f t="shared" si="12"/>
        <v>224</v>
      </c>
      <c r="C225" s="29" t="str">
        <f t="shared" si="13"/>
        <v>S</v>
      </c>
      <c r="D225" s="29" t="str">
        <f t="shared" si="14"/>
        <v>B</v>
      </c>
      <c r="E225" s="29" t="str">
        <f t="shared" si="15"/>
        <v>H</v>
      </c>
      <c r="F225" s="1" t="s">
        <v>1916</v>
      </c>
      <c r="G225" s="1" t="s">
        <v>486</v>
      </c>
      <c r="H225" s="1" t="s">
        <v>45</v>
      </c>
      <c r="I225" s="1" t="s">
        <v>19</v>
      </c>
      <c r="J225" s="1" t="s">
        <v>39</v>
      </c>
      <c r="K225" s="1" t="s">
        <v>486</v>
      </c>
      <c r="L225" s="1" t="s">
        <v>853</v>
      </c>
      <c r="M225" s="1" t="s">
        <v>22</v>
      </c>
      <c r="N225" s="1" t="s">
        <v>1886</v>
      </c>
      <c r="O225" s="1" t="s">
        <v>129</v>
      </c>
      <c r="P225" s="1" t="s">
        <v>613</v>
      </c>
      <c r="Q225" s="1"/>
      <c r="R225" s="1" t="s">
        <v>854</v>
      </c>
      <c r="S225" s="75">
        <v>45047</v>
      </c>
      <c r="T225" s="1">
        <v>0</v>
      </c>
      <c r="U225" s="1"/>
      <c r="V225" s="1" t="s">
        <v>36</v>
      </c>
      <c r="W225" s="1"/>
      <c r="X225" s="1"/>
      <c r="Y225" s="1"/>
      <c r="Z225" s="1" t="s">
        <v>45</v>
      </c>
      <c r="AA225" s="75">
        <v>45070</v>
      </c>
      <c r="AB225" s="75">
        <v>45070</v>
      </c>
      <c r="AC225" s="88">
        <v>480000</v>
      </c>
      <c r="AD225" s="88">
        <v>15300000</v>
      </c>
    </row>
    <row r="226" spans="1:30" x14ac:dyDescent="0.4">
      <c r="A226" s="29">
        <v>223</v>
      </c>
      <c r="B226" s="29" t="str">
        <f t="shared" si="12"/>
        <v>225</v>
      </c>
      <c r="C226" s="29" t="str">
        <f t="shared" si="13"/>
        <v>C</v>
      </c>
      <c r="D226" s="29" t="str">
        <f t="shared" si="14"/>
        <v>B</v>
      </c>
      <c r="E226" s="29" t="str">
        <f t="shared" si="15"/>
        <v>F</v>
      </c>
      <c r="F226" s="1" t="s">
        <v>855</v>
      </c>
      <c r="G226" s="1" t="s">
        <v>675</v>
      </c>
      <c r="H226" s="1" t="s">
        <v>359</v>
      </c>
      <c r="I226" s="1" t="s">
        <v>19</v>
      </c>
      <c r="J226" s="1" t="s">
        <v>676</v>
      </c>
      <c r="K226" s="1" t="s">
        <v>856</v>
      </c>
      <c r="L226" s="1" t="s">
        <v>1408</v>
      </c>
      <c r="M226" s="1" t="s">
        <v>22</v>
      </c>
      <c r="N226" s="1" t="s">
        <v>118</v>
      </c>
      <c r="O226" s="1" t="s">
        <v>254</v>
      </c>
      <c r="P226" s="1" t="s">
        <v>24</v>
      </c>
      <c r="Q226" s="1" t="s">
        <v>715</v>
      </c>
      <c r="R226" s="1" t="s">
        <v>857</v>
      </c>
      <c r="S226" s="75">
        <v>45086</v>
      </c>
      <c r="T226" s="1">
        <v>0</v>
      </c>
      <c r="U226" s="1"/>
      <c r="V226" s="1" t="s">
        <v>27</v>
      </c>
      <c r="W226" s="1" t="s">
        <v>1830</v>
      </c>
      <c r="X226" s="1" t="s">
        <v>1836</v>
      </c>
      <c r="Y226" s="1" t="s">
        <v>1856</v>
      </c>
      <c r="Z226" s="1" t="s">
        <v>1836</v>
      </c>
      <c r="AA226" s="75">
        <v>45086</v>
      </c>
      <c r="AB226" s="75">
        <v>45079</v>
      </c>
      <c r="AC226" s="88">
        <v>1150000</v>
      </c>
      <c r="AD226" s="88">
        <v>65100000</v>
      </c>
    </row>
    <row r="227" spans="1:30" ht="17.399999999999999" customHeight="1" x14ac:dyDescent="0.4">
      <c r="A227" s="29">
        <v>224</v>
      </c>
      <c r="B227" s="29" t="str">
        <f t="shared" si="12"/>
        <v>226</v>
      </c>
      <c r="C227" s="29" t="str">
        <f t="shared" si="13"/>
        <v>C</v>
      </c>
      <c r="D227" s="29" t="str">
        <f t="shared" si="14"/>
        <v>B</v>
      </c>
      <c r="E227" s="29" t="str">
        <f t="shared" si="15"/>
        <v>F</v>
      </c>
      <c r="F227" s="1" t="s">
        <v>1917</v>
      </c>
      <c r="G227" s="1" t="s">
        <v>675</v>
      </c>
      <c r="H227" s="1" t="s">
        <v>359</v>
      </c>
      <c r="I227" s="1" t="s">
        <v>19</v>
      </c>
      <c r="J227" s="1" t="s">
        <v>676</v>
      </c>
      <c r="K227" s="1" t="s">
        <v>1992</v>
      </c>
      <c r="L227" s="1" t="s">
        <v>1409</v>
      </c>
      <c r="M227" s="1" t="s">
        <v>22</v>
      </c>
      <c r="N227" s="1" t="s">
        <v>81</v>
      </c>
      <c r="O227" s="1" t="s">
        <v>33</v>
      </c>
      <c r="P227" s="1" t="s">
        <v>24</v>
      </c>
      <c r="Q227" s="1" t="s">
        <v>749</v>
      </c>
      <c r="R227" s="1" t="s">
        <v>858</v>
      </c>
      <c r="S227" s="75">
        <v>45086</v>
      </c>
      <c r="T227" s="1">
        <v>0</v>
      </c>
      <c r="U227" s="1"/>
      <c r="V227" s="1" t="s">
        <v>27</v>
      </c>
      <c r="W227" s="1" t="s">
        <v>1830</v>
      </c>
      <c r="X227" s="1" t="s">
        <v>1836</v>
      </c>
      <c r="Y227" s="1" t="s">
        <v>1839</v>
      </c>
      <c r="Z227" s="1" t="s">
        <v>1836</v>
      </c>
      <c r="AA227" s="75">
        <v>45086</v>
      </c>
      <c r="AB227" s="75">
        <v>45086</v>
      </c>
      <c r="AC227" s="88">
        <v>800000</v>
      </c>
      <c r="AD227" s="88">
        <v>25800000</v>
      </c>
    </row>
    <row r="228" spans="1:30" ht="17.399999999999999" customHeight="1" x14ac:dyDescent="0.4">
      <c r="A228" s="29">
        <v>225</v>
      </c>
      <c r="B228" s="29" t="str">
        <f t="shared" si="12"/>
        <v>227</v>
      </c>
      <c r="C228" s="29" t="str">
        <f t="shared" si="13"/>
        <v>C</v>
      </c>
      <c r="D228" s="29" t="str">
        <f t="shared" si="14"/>
        <v>B</v>
      </c>
      <c r="E228" s="29" t="str">
        <f t="shared" si="15"/>
        <v>F</v>
      </c>
      <c r="F228" s="1" t="s">
        <v>1918</v>
      </c>
      <c r="G228" s="1" t="s">
        <v>675</v>
      </c>
      <c r="H228" s="1" t="s">
        <v>359</v>
      </c>
      <c r="I228" s="1" t="s">
        <v>19</v>
      </c>
      <c r="J228" s="1" t="s">
        <v>676</v>
      </c>
      <c r="K228" s="1" t="s">
        <v>1993</v>
      </c>
      <c r="L228" s="1" t="s">
        <v>1410</v>
      </c>
      <c r="M228" s="1" t="s">
        <v>22</v>
      </c>
      <c r="N228" s="1" t="s">
        <v>81</v>
      </c>
      <c r="O228" s="1" t="s">
        <v>33</v>
      </c>
      <c r="P228" s="1" t="s">
        <v>24</v>
      </c>
      <c r="Q228" s="1" t="s">
        <v>749</v>
      </c>
      <c r="R228" s="1" t="s">
        <v>859</v>
      </c>
      <c r="S228" s="75">
        <v>45086</v>
      </c>
      <c r="T228" s="1">
        <v>0</v>
      </c>
      <c r="U228" s="1"/>
      <c r="V228" s="1" t="s">
        <v>27</v>
      </c>
      <c r="W228" s="1" t="s">
        <v>1830</v>
      </c>
      <c r="X228" s="1" t="s">
        <v>1836</v>
      </c>
      <c r="Y228" s="1" t="s">
        <v>1856</v>
      </c>
      <c r="Z228" s="1" t="s">
        <v>1836</v>
      </c>
      <c r="AA228" s="75">
        <v>45086</v>
      </c>
      <c r="AB228" s="75">
        <v>45086</v>
      </c>
      <c r="AC228" s="88">
        <v>800000</v>
      </c>
      <c r="AD228" s="88">
        <v>25800000</v>
      </c>
    </row>
    <row r="229" spans="1:30" ht="17.399999999999999" customHeight="1" x14ac:dyDescent="0.4">
      <c r="A229" s="29">
        <v>226</v>
      </c>
      <c r="B229" s="29" t="str">
        <f t="shared" si="12"/>
        <v>228</v>
      </c>
      <c r="C229" s="29" t="str">
        <f t="shared" si="13"/>
        <v>C</v>
      </c>
      <c r="D229" s="29" t="str">
        <f t="shared" si="14"/>
        <v>B</v>
      </c>
      <c r="E229" s="29" t="str">
        <f t="shared" si="15"/>
        <v>F</v>
      </c>
      <c r="F229" s="1" t="s">
        <v>1919</v>
      </c>
      <c r="G229" s="1" t="s">
        <v>675</v>
      </c>
      <c r="H229" s="1" t="s">
        <v>359</v>
      </c>
      <c r="I229" s="1" t="s">
        <v>19</v>
      </c>
      <c r="J229" s="1" t="s">
        <v>676</v>
      </c>
      <c r="K229" s="1" t="s">
        <v>1994</v>
      </c>
      <c r="L229" s="1" t="s">
        <v>1411</v>
      </c>
      <c r="M229" s="1" t="s">
        <v>22</v>
      </c>
      <c r="N229" s="1" t="s">
        <v>81</v>
      </c>
      <c r="O229" s="1" t="s">
        <v>33</v>
      </c>
      <c r="P229" s="1" t="s">
        <v>24</v>
      </c>
      <c r="Q229" s="1" t="s">
        <v>749</v>
      </c>
      <c r="R229" s="1" t="s">
        <v>860</v>
      </c>
      <c r="S229" s="75">
        <v>45086</v>
      </c>
      <c r="T229" s="1">
        <v>0</v>
      </c>
      <c r="U229" s="1"/>
      <c r="V229" s="1" t="s">
        <v>27</v>
      </c>
      <c r="W229" s="1" t="s">
        <v>1830</v>
      </c>
      <c r="X229" s="1" t="s">
        <v>1836</v>
      </c>
      <c r="Y229" s="1" t="s">
        <v>1856</v>
      </c>
      <c r="Z229" s="1" t="s">
        <v>1836</v>
      </c>
      <c r="AA229" s="75">
        <v>45086</v>
      </c>
      <c r="AB229" s="75">
        <v>45086</v>
      </c>
      <c r="AC229" s="88">
        <v>800000</v>
      </c>
      <c r="AD229" s="88">
        <v>25800000</v>
      </c>
    </row>
    <row r="230" spans="1:30" ht="17.399999999999999" customHeight="1" x14ac:dyDescent="0.4">
      <c r="A230" s="29">
        <v>227</v>
      </c>
      <c r="B230" s="29" t="str">
        <f t="shared" si="12"/>
        <v>229</v>
      </c>
      <c r="C230" s="29" t="str">
        <f t="shared" si="13"/>
        <v>C</v>
      </c>
      <c r="D230" s="29" t="str">
        <f t="shared" si="14"/>
        <v>B</v>
      </c>
      <c r="E230" s="29" t="str">
        <f t="shared" si="15"/>
        <v>F</v>
      </c>
      <c r="F230" s="1" t="s">
        <v>1920</v>
      </c>
      <c r="G230" s="1" t="s">
        <v>675</v>
      </c>
      <c r="H230" s="1" t="s">
        <v>359</v>
      </c>
      <c r="I230" s="1" t="s">
        <v>19</v>
      </c>
      <c r="J230" s="1" t="s">
        <v>676</v>
      </c>
      <c r="K230" s="1" t="s">
        <v>1995</v>
      </c>
      <c r="L230" s="1" t="s">
        <v>1412</v>
      </c>
      <c r="M230" s="1" t="s">
        <v>22</v>
      </c>
      <c r="N230" s="1" t="s">
        <v>81</v>
      </c>
      <c r="O230" s="1" t="s">
        <v>33</v>
      </c>
      <c r="P230" s="1" t="s">
        <v>24</v>
      </c>
      <c r="Q230" s="1" t="s">
        <v>749</v>
      </c>
      <c r="R230" s="1" t="s">
        <v>861</v>
      </c>
      <c r="S230" s="75">
        <v>45086</v>
      </c>
      <c r="T230" s="1">
        <v>0</v>
      </c>
      <c r="U230" s="1"/>
      <c r="V230" s="1" t="s">
        <v>27</v>
      </c>
      <c r="W230" s="1" t="s">
        <v>1830</v>
      </c>
      <c r="X230" s="1" t="s">
        <v>1836</v>
      </c>
      <c r="Y230" s="1" t="s">
        <v>1856</v>
      </c>
      <c r="Z230" s="1" t="s">
        <v>1836</v>
      </c>
      <c r="AA230" s="75">
        <v>45086</v>
      </c>
      <c r="AB230" s="75">
        <v>45086</v>
      </c>
      <c r="AC230" s="88">
        <v>800000</v>
      </c>
      <c r="AD230" s="88">
        <v>25800000</v>
      </c>
    </row>
    <row r="231" spans="1:30" ht="17.399999999999999" customHeight="1" x14ac:dyDescent="0.4">
      <c r="A231" s="29">
        <v>228</v>
      </c>
      <c r="B231" s="29" t="str">
        <f t="shared" si="12"/>
        <v>230</v>
      </c>
      <c r="C231" s="29" t="str">
        <f t="shared" si="13"/>
        <v>C</v>
      </c>
      <c r="D231" s="29" t="str">
        <f t="shared" si="14"/>
        <v>B</v>
      </c>
      <c r="E231" s="29" t="str">
        <f t="shared" si="15"/>
        <v>F</v>
      </c>
      <c r="F231" s="1" t="s">
        <v>1921</v>
      </c>
      <c r="G231" s="1" t="s">
        <v>675</v>
      </c>
      <c r="H231" s="1" t="s">
        <v>359</v>
      </c>
      <c r="I231" s="1" t="s">
        <v>19</v>
      </c>
      <c r="J231" s="1" t="s">
        <v>676</v>
      </c>
      <c r="K231" s="1" t="s">
        <v>862</v>
      </c>
      <c r="L231" s="1" t="s">
        <v>1413</v>
      </c>
      <c r="M231" s="1" t="s">
        <v>22</v>
      </c>
      <c r="N231" s="1" t="s">
        <v>81</v>
      </c>
      <c r="O231" s="1" t="s">
        <v>33</v>
      </c>
      <c r="P231" s="1" t="s">
        <v>24</v>
      </c>
      <c r="Q231" s="1" t="s">
        <v>749</v>
      </c>
      <c r="R231" s="1" t="s">
        <v>863</v>
      </c>
      <c r="S231" s="75">
        <v>45086</v>
      </c>
      <c r="T231" s="1">
        <v>0</v>
      </c>
      <c r="U231" s="1"/>
      <c r="V231" s="1" t="s">
        <v>27</v>
      </c>
      <c r="W231" s="1" t="s">
        <v>1830</v>
      </c>
      <c r="X231" s="1" t="s">
        <v>1836</v>
      </c>
      <c r="Y231" s="1" t="s">
        <v>1856</v>
      </c>
      <c r="Z231" s="1" t="s">
        <v>1836</v>
      </c>
      <c r="AA231" s="75">
        <v>45086</v>
      </c>
      <c r="AB231" s="75">
        <v>45086</v>
      </c>
      <c r="AC231" s="88">
        <v>800000</v>
      </c>
      <c r="AD231" s="88">
        <v>25800000</v>
      </c>
    </row>
    <row r="232" spans="1:30" ht="17.399999999999999" customHeight="1" x14ac:dyDescent="0.4">
      <c r="A232" s="29">
        <v>229</v>
      </c>
      <c r="B232" s="29" t="str">
        <f t="shared" si="12"/>
        <v>231</v>
      </c>
      <c r="C232" s="29" t="str">
        <f t="shared" si="13"/>
        <v>C</v>
      </c>
      <c r="D232" s="29" t="str">
        <f t="shared" si="14"/>
        <v>B</v>
      </c>
      <c r="E232" s="29" t="str">
        <f t="shared" si="15"/>
        <v>F</v>
      </c>
      <c r="F232" s="1" t="s">
        <v>1922</v>
      </c>
      <c r="G232" s="1" t="s">
        <v>675</v>
      </c>
      <c r="H232" s="1" t="s">
        <v>359</v>
      </c>
      <c r="I232" s="1" t="s">
        <v>19</v>
      </c>
      <c r="J232" s="1" t="s">
        <v>676</v>
      </c>
      <c r="K232" s="1" t="s">
        <v>1996</v>
      </c>
      <c r="L232" s="1" t="s">
        <v>1414</v>
      </c>
      <c r="M232" s="1" t="s">
        <v>22</v>
      </c>
      <c r="N232" s="1" t="s">
        <v>81</v>
      </c>
      <c r="O232" s="1" t="s">
        <v>33</v>
      </c>
      <c r="P232" s="1" t="s">
        <v>24</v>
      </c>
      <c r="Q232" s="1" t="s">
        <v>749</v>
      </c>
      <c r="R232" s="1" t="s">
        <v>864</v>
      </c>
      <c r="S232" s="75">
        <v>45086</v>
      </c>
      <c r="T232" s="1">
        <v>0</v>
      </c>
      <c r="U232" s="1"/>
      <c r="V232" s="1" t="s">
        <v>27</v>
      </c>
      <c r="W232" s="1" t="s">
        <v>1830</v>
      </c>
      <c r="X232" s="1" t="s">
        <v>1836</v>
      </c>
      <c r="Y232" s="1" t="s">
        <v>1856</v>
      </c>
      <c r="Z232" s="1" t="s">
        <v>1836</v>
      </c>
      <c r="AA232" s="75">
        <v>45086</v>
      </c>
      <c r="AB232" s="75">
        <v>45086</v>
      </c>
      <c r="AC232" s="88">
        <v>800000</v>
      </c>
      <c r="AD232" s="88">
        <v>25800000</v>
      </c>
    </row>
    <row r="233" spans="1:30" ht="17.399999999999999" customHeight="1" x14ac:dyDescent="0.4">
      <c r="A233" s="29">
        <v>230</v>
      </c>
      <c r="B233" s="29" t="str">
        <f t="shared" si="12"/>
        <v>232</v>
      </c>
      <c r="C233" s="29" t="str">
        <f t="shared" si="13"/>
        <v>C</v>
      </c>
      <c r="D233" s="29" t="str">
        <f t="shared" si="14"/>
        <v>B</v>
      </c>
      <c r="E233" s="29" t="str">
        <f t="shared" si="15"/>
        <v>F</v>
      </c>
      <c r="F233" s="1" t="s">
        <v>1923</v>
      </c>
      <c r="G233" s="1" t="s">
        <v>675</v>
      </c>
      <c r="H233" s="1" t="s">
        <v>359</v>
      </c>
      <c r="I233" s="1" t="s">
        <v>19</v>
      </c>
      <c r="J233" s="1" t="s">
        <v>676</v>
      </c>
      <c r="K233" s="1" t="s">
        <v>1997</v>
      </c>
      <c r="L233" s="1" t="s">
        <v>1415</v>
      </c>
      <c r="M233" s="1" t="s">
        <v>22</v>
      </c>
      <c r="N233" s="1" t="s">
        <v>81</v>
      </c>
      <c r="O233" s="1" t="s">
        <v>33</v>
      </c>
      <c r="P233" s="1" t="s">
        <v>24</v>
      </c>
      <c r="Q233" s="1" t="s">
        <v>749</v>
      </c>
      <c r="R233" s="1" t="s">
        <v>865</v>
      </c>
      <c r="S233" s="75">
        <v>45086</v>
      </c>
      <c r="T233" s="1">
        <v>0</v>
      </c>
      <c r="U233" s="1"/>
      <c r="V233" s="1" t="s">
        <v>27</v>
      </c>
      <c r="W233" s="1" t="s">
        <v>1830</v>
      </c>
      <c r="X233" s="1" t="s">
        <v>1836</v>
      </c>
      <c r="Y233" s="1" t="s">
        <v>1839</v>
      </c>
      <c r="Z233" s="1" t="s">
        <v>1836</v>
      </c>
      <c r="AA233" s="75">
        <v>45086</v>
      </c>
      <c r="AB233" s="75">
        <v>45086</v>
      </c>
      <c r="AC233" s="88">
        <v>800000</v>
      </c>
      <c r="AD233" s="88">
        <v>25800000</v>
      </c>
    </row>
    <row r="234" spans="1:30" ht="17.399999999999999" customHeight="1" x14ac:dyDescent="0.4">
      <c r="A234" s="29">
        <v>231</v>
      </c>
      <c r="B234" s="29" t="str">
        <f t="shared" si="12"/>
        <v>233</v>
      </c>
      <c r="C234" s="29" t="str">
        <f t="shared" si="13"/>
        <v>C</v>
      </c>
      <c r="D234" s="29" t="str">
        <f t="shared" si="14"/>
        <v>B</v>
      </c>
      <c r="E234" s="29" t="str">
        <f t="shared" si="15"/>
        <v>F</v>
      </c>
      <c r="F234" s="1" t="s">
        <v>1924</v>
      </c>
      <c r="G234" s="1" t="s">
        <v>675</v>
      </c>
      <c r="H234" s="1" t="s">
        <v>359</v>
      </c>
      <c r="I234" s="1" t="s">
        <v>19</v>
      </c>
      <c r="J234" s="1" t="s">
        <v>676</v>
      </c>
      <c r="K234" s="1" t="s">
        <v>1998</v>
      </c>
      <c r="L234" s="1" t="s">
        <v>1416</v>
      </c>
      <c r="M234" s="1" t="s">
        <v>22</v>
      </c>
      <c r="N234" s="1" t="s">
        <v>81</v>
      </c>
      <c r="O234" s="1" t="s">
        <v>33</v>
      </c>
      <c r="P234" s="1" t="s">
        <v>24</v>
      </c>
      <c r="Q234" s="1" t="s">
        <v>749</v>
      </c>
      <c r="R234" s="1" t="s">
        <v>866</v>
      </c>
      <c r="S234" s="75">
        <v>45086</v>
      </c>
      <c r="T234" s="1">
        <v>0</v>
      </c>
      <c r="U234" s="1"/>
      <c r="V234" s="1" t="s">
        <v>27</v>
      </c>
      <c r="W234" s="1" t="s">
        <v>1830</v>
      </c>
      <c r="X234" s="1" t="s">
        <v>1836</v>
      </c>
      <c r="Y234" s="1" t="s">
        <v>1856</v>
      </c>
      <c r="Z234" s="1" t="s">
        <v>1836</v>
      </c>
      <c r="AA234" s="75">
        <v>45086</v>
      </c>
      <c r="AB234" s="75">
        <v>45086</v>
      </c>
      <c r="AC234" s="88">
        <v>800000</v>
      </c>
      <c r="AD234" s="88">
        <v>25800000</v>
      </c>
    </row>
    <row r="235" spans="1:30" ht="17.399999999999999" customHeight="1" x14ac:dyDescent="0.4">
      <c r="A235" s="29">
        <v>232</v>
      </c>
      <c r="B235" s="29" t="str">
        <f t="shared" si="12"/>
        <v>234</v>
      </c>
      <c r="C235" s="29" t="str">
        <f t="shared" si="13"/>
        <v>C</v>
      </c>
      <c r="D235" s="29" t="str">
        <f t="shared" si="14"/>
        <v>B</v>
      </c>
      <c r="E235" s="29" t="str">
        <f t="shared" si="15"/>
        <v>F</v>
      </c>
      <c r="F235" s="1" t="s">
        <v>1925</v>
      </c>
      <c r="G235" s="1" t="s">
        <v>675</v>
      </c>
      <c r="H235" s="1" t="s">
        <v>359</v>
      </c>
      <c r="I235" s="1" t="s">
        <v>19</v>
      </c>
      <c r="J235" s="1" t="s">
        <v>676</v>
      </c>
      <c r="K235" s="1" t="s">
        <v>1999</v>
      </c>
      <c r="L235" s="1" t="s">
        <v>1417</v>
      </c>
      <c r="M235" s="1" t="s">
        <v>22</v>
      </c>
      <c r="N235" s="1" t="s">
        <v>81</v>
      </c>
      <c r="O235" s="1" t="s">
        <v>33</v>
      </c>
      <c r="P235" s="1" t="s">
        <v>24</v>
      </c>
      <c r="Q235" s="1" t="s">
        <v>749</v>
      </c>
      <c r="R235" s="1" t="s">
        <v>867</v>
      </c>
      <c r="S235" s="75">
        <v>45086</v>
      </c>
      <c r="T235" s="1">
        <v>0</v>
      </c>
      <c r="U235" s="1"/>
      <c r="V235" s="1" t="s">
        <v>27</v>
      </c>
      <c r="W235" s="1" t="s">
        <v>1830</v>
      </c>
      <c r="X235" s="1" t="s">
        <v>1836</v>
      </c>
      <c r="Y235" s="1" t="s">
        <v>1856</v>
      </c>
      <c r="Z235" s="1" t="s">
        <v>1836</v>
      </c>
      <c r="AA235" s="75">
        <v>45086</v>
      </c>
      <c r="AB235" s="75">
        <v>45086</v>
      </c>
      <c r="AC235" s="88">
        <v>800000</v>
      </c>
      <c r="AD235" s="88">
        <v>25800000</v>
      </c>
    </row>
    <row r="236" spans="1:30" ht="17.399999999999999" customHeight="1" x14ac:dyDescent="0.4">
      <c r="A236" s="29">
        <v>233</v>
      </c>
      <c r="B236" s="29" t="str">
        <f t="shared" si="12"/>
        <v>235</v>
      </c>
      <c r="C236" s="29" t="str">
        <f t="shared" si="13"/>
        <v>C</v>
      </c>
      <c r="D236" s="29" t="str">
        <f t="shared" si="14"/>
        <v>B</v>
      </c>
      <c r="E236" s="29" t="str">
        <f t="shared" si="15"/>
        <v>F</v>
      </c>
      <c r="F236" s="1" t="s">
        <v>1926</v>
      </c>
      <c r="G236" s="1" t="s">
        <v>675</v>
      </c>
      <c r="H236" s="1" t="s">
        <v>359</v>
      </c>
      <c r="I236" s="1" t="s">
        <v>19</v>
      </c>
      <c r="J236" s="1" t="s">
        <v>676</v>
      </c>
      <c r="K236" s="1" t="s">
        <v>2000</v>
      </c>
      <c r="L236" s="1" t="s">
        <v>1418</v>
      </c>
      <c r="M236" s="1" t="s">
        <v>22</v>
      </c>
      <c r="N236" s="1" t="s">
        <v>81</v>
      </c>
      <c r="O236" s="1" t="s">
        <v>33</v>
      </c>
      <c r="P236" s="1" t="s">
        <v>24</v>
      </c>
      <c r="Q236" s="1" t="s">
        <v>749</v>
      </c>
      <c r="R236" s="1" t="s">
        <v>868</v>
      </c>
      <c r="S236" s="75">
        <v>45086</v>
      </c>
      <c r="T236" s="1">
        <v>0</v>
      </c>
      <c r="U236" s="1"/>
      <c r="V236" s="1" t="s">
        <v>27</v>
      </c>
      <c r="W236" s="1" t="s">
        <v>1830</v>
      </c>
      <c r="X236" s="1" t="s">
        <v>1836</v>
      </c>
      <c r="Y236" s="1" t="s">
        <v>1856</v>
      </c>
      <c r="Z236" s="1" t="s">
        <v>1836</v>
      </c>
      <c r="AA236" s="75">
        <v>45086</v>
      </c>
      <c r="AB236" s="75">
        <v>45086</v>
      </c>
      <c r="AC236" s="88">
        <v>800000</v>
      </c>
      <c r="AD236" s="88">
        <v>25800000</v>
      </c>
    </row>
    <row r="237" spans="1:30" ht="17.399999999999999" customHeight="1" x14ac:dyDescent="0.4">
      <c r="A237" s="29">
        <v>234</v>
      </c>
      <c r="B237" s="29" t="str">
        <f t="shared" si="12"/>
        <v>236</v>
      </c>
      <c r="C237" s="29" t="str">
        <f t="shared" si="13"/>
        <v>C</v>
      </c>
      <c r="D237" s="29" t="str">
        <f t="shared" si="14"/>
        <v>B</v>
      </c>
      <c r="E237" s="29" t="str">
        <f t="shared" si="15"/>
        <v>F</v>
      </c>
      <c r="F237" s="1" t="s">
        <v>1927</v>
      </c>
      <c r="G237" s="1" t="s">
        <v>675</v>
      </c>
      <c r="H237" s="1" t="s">
        <v>359</v>
      </c>
      <c r="I237" s="1" t="s">
        <v>19</v>
      </c>
      <c r="J237" s="1" t="s">
        <v>676</v>
      </c>
      <c r="K237" s="1" t="s">
        <v>2001</v>
      </c>
      <c r="L237" s="1" t="s">
        <v>1419</v>
      </c>
      <c r="M237" s="1" t="s">
        <v>22</v>
      </c>
      <c r="N237" s="1" t="s">
        <v>81</v>
      </c>
      <c r="O237" s="1" t="s">
        <v>33</v>
      </c>
      <c r="P237" s="1" t="s">
        <v>24</v>
      </c>
      <c r="Q237" s="1" t="s">
        <v>749</v>
      </c>
      <c r="R237" s="1" t="s">
        <v>869</v>
      </c>
      <c r="S237" s="75">
        <v>45086</v>
      </c>
      <c r="T237" s="1">
        <v>0</v>
      </c>
      <c r="U237" s="1"/>
      <c r="V237" s="1" t="s">
        <v>27</v>
      </c>
      <c r="W237" s="1" t="s">
        <v>1830</v>
      </c>
      <c r="X237" s="1" t="s">
        <v>1836</v>
      </c>
      <c r="Y237" s="1" t="s">
        <v>1856</v>
      </c>
      <c r="Z237" s="1" t="s">
        <v>1836</v>
      </c>
      <c r="AA237" s="75">
        <v>45086</v>
      </c>
      <c r="AB237" s="75">
        <v>45086</v>
      </c>
      <c r="AC237" s="88">
        <v>800000</v>
      </c>
      <c r="AD237" s="88">
        <v>25800000</v>
      </c>
    </row>
    <row r="238" spans="1:30" ht="17.399999999999999" customHeight="1" x14ac:dyDescent="0.4">
      <c r="A238" s="29">
        <v>235</v>
      </c>
      <c r="B238" s="29" t="str">
        <f t="shared" si="12"/>
        <v>237</v>
      </c>
      <c r="C238" s="29" t="str">
        <f t="shared" si="13"/>
        <v>C</v>
      </c>
      <c r="D238" s="29" t="str">
        <f t="shared" si="14"/>
        <v>B</v>
      </c>
      <c r="E238" s="29" t="str">
        <f t="shared" si="15"/>
        <v>F</v>
      </c>
      <c r="F238" s="1" t="s">
        <v>1928</v>
      </c>
      <c r="G238" s="1" t="s">
        <v>675</v>
      </c>
      <c r="H238" s="1" t="s">
        <v>359</v>
      </c>
      <c r="I238" s="1" t="s">
        <v>19</v>
      </c>
      <c r="J238" s="1" t="s">
        <v>676</v>
      </c>
      <c r="K238" s="1" t="s">
        <v>2002</v>
      </c>
      <c r="L238" s="1" t="s">
        <v>1420</v>
      </c>
      <c r="M238" s="1" t="s">
        <v>22</v>
      </c>
      <c r="N238" s="1" t="s">
        <v>81</v>
      </c>
      <c r="O238" s="1" t="s">
        <v>33</v>
      </c>
      <c r="P238" s="1" t="s">
        <v>24</v>
      </c>
      <c r="Q238" s="1" t="s">
        <v>749</v>
      </c>
      <c r="R238" s="1" t="s">
        <v>870</v>
      </c>
      <c r="S238" s="75">
        <v>45086</v>
      </c>
      <c r="T238" s="1">
        <v>0</v>
      </c>
      <c r="U238" s="1"/>
      <c r="V238" s="1" t="s">
        <v>27</v>
      </c>
      <c r="W238" s="1" t="s">
        <v>1830</v>
      </c>
      <c r="X238" s="1" t="s">
        <v>1836</v>
      </c>
      <c r="Y238" s="1" t="s">
        <v>1856</v>
      </c>
      <c r="Z238" s="1" t="s">
        <v>1836</v>
      </c>
      <c r="AA238" s="75">
        <v>45086</v>
      </c>
      <c r="AB238" s="75">
        <v>45086</v>
      </c>
      <c r="AC238" s="88">
        <v>800000</v>
      </c>
      <c r="AD238" s="88">
        <v>25800000</v>
      </c>
    </row>
    <row r="239" spans="1:30" x14ac:dyDescent="0.4">
      <c r="A239" s="29">
        <v>236</v>
      </c>
      <c r="B239" s="29" t="str">
        <f t="shared" si="12"/>
        <v>238</v>
      </c>
      <c r="C239" s="29" t="str">
        <f t="shared" si="13"/>
        <v>D</v>
      </c>
      <c r="D239" s="29" t="str">
        <f t="shared" si="14"/>
        <v>B</v>
      </c>
      <c r="E239" s="29" t="str">
        <f t="shared" si="15"/>
        <v>F</v>
      </c>
      <c r="F239" s="1" t="s">
        <v>871</v>
      </c>
      <c r="G239" s="1" t="s">
        <v>872</v>
      </c>
      <c r="H239" s="1" t="s">
        <v>45</v>
      </c>
      <c r="I239" s="1" t="s">
        <v>19</v>
      </c>
      <c r="J239" s="1" t="s">
        <v>1362</v>
      </c>
      <c r="K239" s="1" t="s">
        <v>873</v>
      </c>
      <c r="L239" s="1" t="s">
        <v>874</v>
      </c>
      <c r="M239" s="1" t="s">
        <v>22</v>
      </c>
      <c r="N239" s="1" t="s">
        <v>118</v>
      </c>
      <c r="O239" s="1" t="s">
        <v>33</v>
      </c>
      <c r="P239" s="1" t="s">
        <v>41</v>
      </c>
      <c r="Q239" s="1" t="s">
        <v>424</v>
      </c>
      <c r="R239" s="1" t="s">
        <v>875</v>
      </c>
      <c r="S239" s="75">
        <v>44927</v>
      </c>
      <c r="T239" s="1">
        <v>0</v>
      </c>
      <c r="U239" s="1"/>
      <c r="V239" s="1" t="s">
        <v>27</v>
      </c>
      <c r="W239" s="1" t="s">
        <v>1848</v>
      </c>
      <c r="X239" s="1" t="s">
        <v>45</v>
      </c>
      <c r="Y239" s="1" t="s">
        <v>1857</v>
      </c>
      <c r="Z239" s="1" t="s">
        <v>45</v>
      </c>
      <c r="AA239" s="75">
        <v>45089</v>
      </c>
      <c r="AB239" s="75">
        <v>45078</v>
      </c>
      <c r="AC239" s="88">
        <v>800000</v>
      </c>
      <c r="AD239" s="88">
        <v>30780000</v>
      </c>
    </row>
    <row r="240" spans="1:30" x14ac:dyDescent="0.4">
      <c r="A240" s="29">
        <v>237</v>
      </c>
      <c r="B240" s="29" t="str">
        <f t="shared" si="12"/>
        <v>239</v>
      </c>
      <c r="C240" s="29" t="str">
        <f t="shared" si="13"/>
        <v>D</v>
      </c>
      <c r="D240" s="29" t="str">
        <f t="shared" si="14"/>
        <v>B</v>
      </c>
      <c r="E240" s="29" t="str">
        <f t="shared" si="15"/>
        <v>F</v>
      </c>
      <c r="F240" s="1" t="s">
        <v>876</v>
      </c>
      <c r="G240" s="1" t="s">
        <v>872</v>
      </c>
      <c r="H240" s="1" t="s">
        <v>45</v>
      </c>
      <c r="I240" s="1" t="s">
        <v>19</v>
      </c>
      <c r="J240" s="1" t="s">
        <v>1362</v>
      </c>
      <c r="K240" s="1" t="s">
        <v>873</v>
      </c>
      <c r="L240" s="1" t="s">
        <v>877</v>
      </c>
      <c r="M240" s="1" t="s">
        <v>22</v>
      </c>
      <c r="N240" s="1" t="s">
        <v>118</v>
      </c>
      <c r="O240" s="1" t="s">
        <v>33</v>
      </c>
      <c r="P240" s="1" t="s">
        <v>41</v>
      </c>
      <c r="Q240" s="1" t="s">
        <v>424</v>
      </c>
      <c r="R240" s="1" t="s">
        <v>878</v>
      </c>
      <c r="S240" s="75">
        <v>44927</v>
      </c>
      <c r="T240" s="1">
        <v>0</v>
      </c>
      <c r="U240" s="1"/>
      <c r="V240" s="1" t="s">
        <v>27</v>
      </c>
      <c r="W240" s="1" t="s">
        <v>1848</v>
      </c>
      <c r="X240" s="1" t="s">
        <v>45</v>
      </c>
      <c r="Y240" s="1" t="s">
        <v>1857</v>
      </c>
      <c r="Z240" s="1" t="s">
        <v>45</v>
      </c>
      <c r="AA240" s="75">
        <v>45089</v>
      </c>
      <c r="AB240" s="75">
        <v>45078</v>
      </c>
      <c r="AC240" s="88">
        <v>800000</v>
      </c>
      <c r="AD240" s="88">
        <v>30780000</v>
      </c>
    </row>
    <row r="241" spans="1:30" x14ac:dyDescent="0.4">
      <c r="A241" s="29">
        <v>238</v>
      </c>
      <c r="B241" s="29" t="str">
        <f t="shared" si="12"/>
        <v>240</v>
      </c>
      <c r="C241" s="29" t="str">
        <f t="shared" si="13"/>
        <v>D</v>
      </c>
      <c r="D241" s="29" t="str">
        <f t="shared" si="14"/>
        <v>B</v>
      </c>
      <c r="E241" s="29" t="str">
        <f t="shared" si="15"/>
        <v>F</v>
      </c>
      <c r="F241" s="1" t="s">
        <v>879</v>
      </c>
      <c r="G241" s="1" t="s">
        <v>872</v>
      </c>
      <c r="H241" s="1" t="s">
        <v>45</v>
      </c>
      <c r="I241" s="1" t="s">
        <v>19</v>
      </c>
      <c r="J241" s="1" t="s">
        <v>1362</v>
      </c>
      <c r="K241" s="1" t="s">
        <v>873</v>
      </c>
      <c r="L241" s="1" t="s">
        <v>880</v>
      </c>
      <c r="M241" s="1" t="s">
        <v>22</v>
      </c>
      <c r="N241" s="1" t="s">
        <v>118</v>
      </c>
      <c r="O241" s="1" t="s">
        <v>33</v>
      </c>
      <c r="P241" s="1" t="s">
        <v>41</v>
      </c>
      <c r="Q241" s="1" t="s">
        <v>424</v>
      </c>
      <c r="R241" s="1" t="s">
        <v>881</v>
      </c>
      <c r="S241" s="75">
        <v>44927</v>
      </c>
      <c r="T241" s="1">
        <v>0</v>
      </c>
      <c r="U241" s="1"/>
      <c r="V241" s="1" t="s">
        <v>27</v>
      </c>
      <c r="W241" s="1" t="s">
        <v>1848</v>
      </c>
      <c r="X241" s="1" t="s">
        <v>45</v>
      </c>
      <c r="Y241" s="1" t="s">
        <v>1857</v>
      </c>
      <c r="Z241" s="1" t="s">
        <v>45</v>
      </c>
      <c r="AA241" s="75">
        <v>45089</v>
      </c>
      <c r="AB241" s="75">
        <v>45089</v>
      </c>
      <c r="AC241" s="88">
        <v>800000</v>
      </c>
      <c r="AD241" s="88">
        <v>30780000</v>
      </c>
    </row>
    <row r="242" spans="1:30" x14ac:dyDescent="0.4">
      <c r="A242" s="29">
        <v>239</v>
      </c>
      <c r="B242" s="29" t="str">
        <f t="shared" si="12"/>
        <v>241</v>
      </c>
      <c r="C242" s="29" t="str">
        <f t="shared" si="13"/>
        <v>D</v>
      </c>
      <c r="D242" s="29" t="str">
        <f t="shared" si="14"/>
        <v>B</v>
      </c>
      <c r="E242" s="29" t="str">
        <f t="shared" si="15"/>
        <v>F</v>
      </c>
      <c r="F242" s="1" t="s">
        <v>882</v>
      </c>
      <c r="G242" s="1" t="s">
        <v>486</v>
      </c>
      <c r="H242" s="1" t="s">
        <v>45</v>
      </c>
      <c r="I242" s="1" t="s">
        <v>19</v>
      </c>
      <c r="J242" s="1" t="s">
        <v>39</v>
      </c>
      <c r="K242" s="1" t="s">
        <v>883</v>
      </c>
      <c r="L242" s="1" t="s">
        <v>884</v>
      </c>
      <c r="M242" s="1" t="s">
        <v>22</v>
      </c>
      <c r="N242" s="1" t="s">
        <v>118</v>
      </c>
      <c r="O242" s="1" t="s">
        <v>23</v>
      </c>
      <c r="P242" s="1" t="s">
        <v>41</v>
      </c>
      <c r="Q242" s="1" t="s">
        <v>885</v>
      </c>
      <c r="R242" s="1" t="s">
        <v>886</v>
      </c>
      <c r="S242" s="75">
        <v>45078</v>
      </c>
      <c r="T242" s="1">
        <v>0</v>
      </c>
      <c r="U242" s="1"/>
      <c r="V242" s="1" t="s">
        <v>27</v>
      </c>
      <c r="W242" s="1" t="s">
        <v>1848</v>
      </c>
      <c r="X242" s="1" t="s">
        <v>45</v>
      </c>
      <c r="Y242" s="1" t="s">
        <v>1858</v>
      </c>
      <c r="Z242" s="1" t="s">
        <v>45</v>
      </c>
      <c r="AA242" s="75">
        <v>45100</v>
      </c>
      <c r="AB242" s="75">
        <v>45100</v>
      </c>
      <c r="AC242" s="88">
        <v>1050000</v>
      </c>
      <c r="AD242" s="88">
        <v>42470000</v>
      </c>
    </row>
    <row r="243" spans="1:30" x14ac:dyDescent="0.4">
      <c r="A243" s="29">
        <v>240</v>
      </c>
      <c r="B243" s="29" t="str">
        <f t="shared" si="12"/>
        <v>242</v>
      </c>
      <c r="C243" s="29" t="str">
        <f t="shared" si="13"/>
        <v>D</v>
      </c>
      <c r="D243" s="29" t="str">
        <f t="shared" si="14"/>
        <v>B</v>
      </c>
      <c r="E243" s="29" t="str">
        <f t="shared" si="15"/>
        <v>F</v>
      </c>
      <c r="F243" s="1" t="s">
        <v>887</v>
      </c>
      <c r="G243" s="1" t="s">
        <v>486</v>
      </c>
      <c r="H243" s="1" t="s">
        <v>45</v>
      </c>
      <c r="I243" s="1" t="s">
        <v>19</v>
      </c>
      <c r="J243" s="1" t="s">
        <v>39</v>
      </c>
      <c r="K243" s="1" t="s">
        <v>888</v>
      </c>
      <c r="L243" s="1" t="s">
        <v>889</v>
      </c>
      <c r="M243" s="1" t="s">
        <v>22</v>
      </c>
      <c r="N243" s="1" t="s">
        <v>118</v>
      </c>
      <c r="O243" s="1" t="s">
        <v>23</v>
      </c>
      <c r="P243" s="1" t="s">
        <v>41</v>
      </c>
      <c r="Q243" s="1" t="s">
        <v>885</v>
      </c>
      <c r="R243" s="1" t="s">
        <v>890</v>
      </c>
      <c r="S243" s="75">
        <v>45078</v>
      </c>
      <c r="T243" s="1">
        <v>0</v>
      </c>
      <c r="U243" s="1"/>
      <c r="V243" s="1" t="s">
        <v>27</v>
      </c>
      <c r="W243" s="1" t="s">
        <v>1848</v>
      </c>
      <c r="X243" s="1" t="s">
        <v>45</v>
      </c>
      <c r="Y243" s="1" t="s">
        <v>1859</v>
      </c>
      <c r="Z243" s="1" t="s">
        <v>45</v>
      </c>
      <c r="AA243" s="75">
        <v>45100</v>
      </c>
      <c r="AB243" s="75">
        <v>45100</v>
      </c>
      <c r="AC243" s="88">
        <v>950000</v>
      </c>
      <c r="AD243" s="88">
        <v>35220000</v>
      </c>
    </row>
    <row r="244" spans="1:30" x14ac:dyDescent="0.4">
      <c r="A244" s="29">
        <v>241</v>
      </c>
      <c r="B244" s="29" t="str">
        <f t="shared" si="12"/>
        <v>243</v>
      </c>
      <c r="C244" s="29" t="str">
        <f t="shared" si="13"/>
        <v>D</v>
      </c>
      <c r="D244" s="29" t="str">
        <f t="shared" si="14"/>
        <v>B</v>
      </c>
      <c r="E244" s="29" t="str">
        <f t="shared" si="15"/>
        <v>F</v>
      </c>
      <c r="F244" s="1" t="s">
        <v>891</v>
      </c>
      <c r="G244" s="1" t="s">
        <v>486</v>
      </c>
      <c r="H244" s="1" t="s">
        <v>45</v>
      </c>
      <c r="I244" s="1" t="s">
        <v>19</v>
      </c>
      <c r="J244" s="1" t="s">
        <v>39</v>
      </c>
      <c r="K244" s="1" t="s">
        <v>888</v>
      </c>
      <c r="L244" s="1" t="s">
        <v>892</v>
      </c>
      <c r="M244" s="1" t="s">
        <v>22</v>
      </c>
      <c r="N244" s="1" t="s">
        <v>118</v>
      </c>
      <c r="O244" s="1" t="s">
        <v>23</v>
      </c>
      <c r="P244" s="1" t="s">
        <v>41</v>
      </c>
      <c r="Q244" s="1" t="s">
        <v>885</v>
      </c>
      <c r="R244" s="1" t="s">
        <v>893</v>
      </c>
      <c r="S244" s="75">
        <v>45078</v>
      </c>
      <c r="T244" s="1">
        <v>0</v>
      </c>
      <c r="U244" s="1"/>
      <c r="V244" s="1" t="s">
        <v>27</v>
      </c>
      <c r="W244" s="1" t="s">
        <v>1830</v>
      </c>
      <c r="X244" s="1" t="s">
        <v>45</v>
      </c>
      <c r="Y244" s="1" t="s">
        <v>1859</v>
      </c>
      <c r="Z244" s="1" t="s">
        <v>45</v>
      </c>
      <c r="AA244" s="75">
        <v>45100</v>
      </c>
      <c r="AB244" s="75">
        <v>45100</v>
      </c>
      <c r="AC244" s="88">
        <v>950000</v>
      </c>
      <c r="AD244" s="88">
        <v>35220000</v>
      </c>
    </row>
    <row r="245" spans="1:30" x14ac:dyDescent="0.4">
      <c r="A245" s="29">
        <v>242</v>
      </c>
      <c r="B245" s="29" t="str">
        <f t="shared" si="12"/>
        <v>244</v>
      </c>
      <c r="C245" s="29" t="str">
        <f t="shared" si="13"/>
        <v>D</v>
      </c>
      <c r="D245" s="29" t="str">
        <f t="shared" si="14"/>
        <v>B</v>
      </c>
      <c r="E245" s="29" t="str">
        <f t="shared" si="15"/>
        <v>F</v>
      </c>
      <c r="F245" s="1" t="s">
        <v>894</v>
      </c>
      <c r="G245" s="1" t="s">
        <v>486</v>
      </c>
      <c r="H245" s="1" t="s">
        <v>45</v>
      </c>
      <c r="I245" s="1" t="s">
        <v>19</v>
      </c>
      <c r="J245" s="1" t="s">
        <v>39</v>
      </c>
      <c r="K245" s="1" t="s">
        <v>888</v>
      </c>
      <c r="L245" s="1" t="s">
        <v>895</v>
      </c>
      <c r="M245" s="1" t="s">
        <v>22</v>
      </c>
      <c r="N245" s="1" t="s">
        <v>118</v>
      </c>
      <c r="O245" s="1" t="s">
        <v>23</v>
      </c>
      <c r="P245" s="1" t="s">
        <v>41</v>
      </c>
      <c r="Q245" s="1" t="s">
        <v>885</v>
      </c>
      <c r="R245" s="1" t="s">
        <v>896</v>
      </c>
      <c r="S245" s="75">
        <v>45078</v>
      </c>
      <c r="T245" s="1">
        <v>0</v>
      </c>
      <c r="U245" s="1"/>
      <c r="V245" s="1" t="s">
        <v>27</v>
      </c>
      <c r="W245" s="1" t="s">
        <v>1830</v>
      </c>
      <c r="X245" s="1" t="s">
        <v>45</v>
      </c>
      <c r="Y245" s="1" t="s">
        <v>1859</v>
      </c>
      <c r="Z245" s="1" t="s">
        <v>45</v>
      </c>
      <c r="AA245" s="75">
        <v>45100</v>
      </c>
      <c r="AB245" s="75">
        <v>45100</v>
      </c>
      <c r="AC245" s="88">
        <v>950000</v>
      </c>
      <c r="AD245" s="88">
        <v>35220000</v>
      </c>
    </row>
    <row r="246" spans="1:30" x14ac:dyDescent="0.4">
      <c r="A246" s="29">
        <v>243</v>
      </c>
      <c r="B246" s="29" t="str">
        <f t="shared" si="12"/>
        <v>245</v>
      </c>
      <c r="C246" s="29" t="str">
        <f t="shared" si="13"/>
        <v>D</v>
      </c>
      <c r="D246" s="29" t="str">
        <f t="shared" si="14"/>
        <v>B</v>
      </c>
      <c r="E246" s="29" t="str">
        <f t="shared" si="15"/>
        <v>F</v>
      </c>
      <c r="F246" s="1" t="s">
        <v>897</v>
      </c>
      <c r="G246" s="1" t="s">
        <v>1836</v>
      </c>
      <c r="H246" s="1" t="s">
        <v>1693</v>
      </c>
      <c r="I246" s="1" t="s">
        <v>736</v>
      </c>
      <c r="J246" s="1" t="s">
        <v>31</v>
      </c>
      <c r="K246" s="1" t="s">
        <v>2034</v>
      </c>
      <c r="L246" s="1" t="s">
        <v>2063</v>
      </c>
      <c r="M246" s="1" t="s">
        <v>22</v>
      </c>
      <c r="N246" s="1" t="s">
        <v>118</v>
      </c>
      <c r="O246" s="1" t="s">
        <v>23</v>
      </c>
      <c r="P246" s="1" t="s">
        <v>41</v>
      </c>
      <c r="Q246" s="1" t="s">
        <v>885</v>
      </c>
      <c r="R246" s="1" t="s">
        <v>898</v>
      </c>
      <c r="S246" s="75">
        <v>45078</v>
      </c>
      <c r="T246" s="1">
        <v>0</v>
      </c>
      <c r="U246" s="1"/>
      <c r="V246" s="1" t="s">
        <v>27</v>
      </c>
      <c r="W246" s="1" t="s">
        <v>1848</v>
      </c>
      <c r="X246" s="1" t="s">
        <v>45</v>
      </c>
      <c r="Y246" s="1" t="s">
        <v>1860</v>
      </c>
      <c r="Z246" s="1" t="s">
        <v>45</v>
      </c>
      <c r="AA246" s="75">
        <v>45100</v>
      </c>
      <c r="AB246" s="75">
        <v>46113</v>
      </c>
      <c r="AC246" s="88">
        <v>950000</v>
      </c>
      <c r="AD246" s="88">
        <v>35220000</v>
      </c>
    </row>
    <row r="247" spans="1:30" x14ac:dyDescent="0.4">
      <c r="A247" s="29">
        <v>244</v>
      </c>
      <c r="B247" s="29" t="str">
        <f t="shared" si="12"/>
        <v>246</v>
      </c>
      <c r="C247" s="29" t="str">
        <f t="shared" si="13"/>
        <v>D</v>
      </c>
      <c r="D247" s="29" t="str">
        <f t="shared" si="14"/>
        <v>B</v>
      </c>
      <c r="E247" s="29" t="str">
        <f t="shared" si="15"/>
        <v>F</v>
      </c>
      <c r="F247" s="1" t="s">
        <v>899</v>
      </c>
      <c r="G247" s="1" t="s">
        <v>486</v>
      </c>
      <c r="H247" s="1" t="s">
        <v>45</v>
      </c>
      <c r="I247" s="1" t="s">
        <v>19</v>
      </c>
      <c r="J247" s="1" t="s">
        <v>39</v>
      </c>
      <c r="K247" s="1" t="s">
        <v>888</v>
      </c>
      <c r="L247" s="1" t="s">
        <v>900</v>
      </c>
      <c r="M247" s="1" t="s">
        <v>22</v>
      </c>
      <c r="N247" s="1" t="s">
        <v>118</v>
      </c>
      <c r="O247" s="1" t="s">
        <v>23</v>
      </c>
      <c r="P247" s="1" t="s">
        <v>41</v>
      </c>
      <c r="Q247" s="1" t="s">
        <v>885</v>
      </c>
      <c r="R247" s="1" t="s">
        <v>901</v>
      </c>
      <c r="S247" s="75">
        <v>45078</v>
      </c>
      <c r="T247" s="1">
        <v>0</v>
      </c>
      <c r="U247" s="1"/>
      <c r="V247" s="1" t="s">
        <v>27</v>
      </c>
      <c r="W247" s="1" t="s">
        <v>1848</v>
      </c>
      <c r="X247" s="1" t="s">
        <v>45</v>
      </c>
      <c r="Y247" s="1" t="s">
        <v>1860</v>
      </c>
      <c r="Z247" s="1" t="s">
        <v>45</v>
      </c>
      <c r="AA247" s="75">
        <v>45100</v>
      </c>
      <c r="AB247" s="75">
        <v>45100</v>
      </c>
      <c r="AC247" s="88">
        <v>950000</v>
      </c>
      <c r="AD247" s="88">
        <v>35220000</v>
      </c>
    </row>
    <row r="248" spans="1:30" ht="17.399999999999999" customHeight="1" x14ac:dyDescent="0.4">
      <c r="A248" s="29">
        <v>245</v>
      </c>
      <c r="B248" s="29" t="str">
        <f t="shared" si="12"/>
        <v>247</v>
      </c>
      <c r="C248" s="29" t="str">
        <f t="shared" si="13"/>
        <v>D</v>
      </c>
      <c r="D248" s="29" t="str">
        <f t="shared" si="14"/>
        <v>O</v>
      </c>
      <c r="E248" s="29" t="str">
        <f t="shared" si="15"/>
        <v>F</v>
      </c>
      <c r="F248" s="1" t="s">
        <v>902</v>
      </c>
      <c r="G248" s="1" t="s">
        <v>76</v>
      </c>
      <c r="H248" s="1" t="s">
        <v>76</v>
      </c>
      <c r="I248" s="1" t="s">
        <v>19</v>
      </c>
      <c r="J248" s="1" t="s">
        <v>31</v>
      </c>
      <c r="K248" s="1" t="s">
        <v>76</v>
      </c>
      <c r="L248" s="1" t="s">
        <v>903</v>
      </c>
      <c r="M248" s="1" t="s">
        <v>22</v>
      </c>
      <c r="N248" s="1" t="s">
        <v>118</v>
      </c>
      <c r="O248" s="1" t="s">
        <v>33</v>
      </c>
      <c r="P248" s="1" t="s">
        <v>41</v>
      </c>
      <c r="Q248" s="1" t="s">
        <v>904</v>
      </c>
      <c r="R248" s="1" t="s">
        <v>905</v>
      </c>
      <c r="S248" s="75">
        <v>43132</v>
      </c>
      <c r="T248" s="1">
        <v>0</v>
      </c>
      <c r="U248" s="1" t="s">
        <v>906</v>
      </c>
      <c r="V248" s="1" t="s">
        <v>27</v>
      </c>
      <c r="W248" s="1" t="s">
        <v>1830</v>
      </c>
      <c r="X248" s="1" t="s">
        <v>1836</v>
      </c>
      <c r="Y248" s="1" t="s">
        <v>1834</v>
      </c>
      <c r="Z248" s="1" t="s">
        <v>1836</v>
      </c>
      <c r="AA248" s="75">
        <v>45108</v>
      </c>
      <c r="AB248" s="75">
        <v>45108</v>
      </c>
      <c r="AC248" s="88">
        <v>600000</v>
      </c>
      <c r="AD248" s="88">
        <v>24000000</v>
      </c>
    </row>
    <row r="249" spans="1:30" ht="17.399999999999999" customHeight="1" x14ac:dyDescent="0.4">
      <c r="A249" s="29">
        <v>246</v>
      </c>
      <c r="B249" s="29" t="str">
        <f t="shared" si="12"/>
        <v>248</v>
      </c>
      <c r="C249" s="29" t="str">
        <f t="shared" si="13"/>
        <v>D</v>
      </c>
      <c r="D249" s="29" t="str">
        <f t="shared" si="14"/>
        <v>B</v>
      </c>
      <c r="E249" s="29" t="str">
        <f t="shared" si="15"/>
        <v>F</v>
      </c>
      <c r="F249" s="1" t="s">
        <v>1929</v>
      </c>
      <c r="G249" s="1" t="s">
        <v>76</v>
      </c>
      <c r="H249" s="1" t="s">
        <v>76</v>
      </c>
      <c r="I249" s="1" t="s">
        <v>19</v>
      </c>
      <c r="J249" s="1" t="s">
        <v>31</v>
      </c>
      <c r="K249" s="1" t="s">
        <v>76</v>
      </c>
      <c r="L249" s="1" t="s">
        <v>907</v>
      </c>
      <c r="M249" s="1" t="s">
        <v>22</v>
      </c>
      <c r="N249" s="1" t="s">
        <v>81</v>
      </c>
      <c r="O249" s="1" t="s">
        <v>62</v>
      </c>
      <c r="P249" s="1" t="s">
        <v>41</v>
      </c>
      <c r="Q249" s="1" t="s">
        <v>82</v>
      </c>
      <c r="R249" s="1" t="s">
        <v>908</v>
      </c>
      <c r="S249" s="75">
        <v>45078</v>
      </c>
      <c r="T249" s="1">
        <v>0</v>
      </c>
      <c r="U249" s="1"/>
      <c r="V249" s="1" t="s">
        <v>36</v>
      </c>
      <c r="W249" s="1"/>
      <c r="X249" s="1"/>
      <c r="Y249" s="1"/>
      <c r="Z249" s="1" t="s">
        <v>1836</v>
      </c>
      <c r="AA249" s="75">
        <v>45108</v>
      </c>
      <c r="AB249" s="75">
        <v>45108</v>
      </c>
      <c r="AC249" s="88">
        <v>400000</v>
      </c>
      <c r="AD249" s="88">
        <v>22840000</v>
      </c>
    </row>
    <row r="250" spans="1:30" ht="17.399999999999999" customHeight="1" x14ac:dyDescent="0.4">
      <c r="A250" s="29">
        <v>247</v>
      </c>
      <c r="B250" s="29" t="str">
        <f t="shared" si="12"/>
        <v>249</v>
      </c>
      <c r="C250" s="29" t="str">
        <f t="shared" si="13"/>
        <v>D</v>
      </c>
      <c r="D250" s="29" t="str">
        <f t="shared" si="14"/>
        <v>B</v>
      </c>
      <c r="E250" s="29" t="str">
        <f t="shared" si="15"/>
        <v>F</v>
      </c>
      <c r="F250" s="1" t="s">
        <v>1930</v>
      </c>
      <c r="G250" s="1" t="s">
        <v>76</v>
      </c>
      <c r="H250" s="1" t="s">
        <v>76</v>
      </c>
      <c r="I250" s="1" t="s">
        <v>19</v>
      </c>
      <c r="J250" s="1" t="s">
        <v>31</v>
      </c>
      <c r="K250" s="1" t="s">
        <v>76</v>
      </c>
      <c r="L250" s="1" t="s">
        <v>909</v>
      </c>
      <c r="M250" s="1" t="s">
        <v>22</v>
      </c>
      <c r="N250" s="1" t="s">
        <v>81</v>
      </c>
      <c r="O250" s="1" t="s">
        <v>62</v>
      </c>
      <c r="P250" s="1" t="s">
        <v>41</v>
      </c>
      <c r="Q250" s="1" t="s">
        <v>82</v>
      </c>
      <c r="R250" s="1" t="s">
        <v>910</v>
      </c>
      <c r="S250" s="75">
        <v>45078</v>
      </c>
      <c r="T250" s="1">
        <v>0</v>
      </c>
      <c r="U250" s="1"/>
      <c r="V250" s="1" t="s">
        <v>36</v>
      </c>
      <c r="W250" s="1"/>
      <c r="X250" s="1"/>
      <c r="Y250" s="1"/>
      <c r="Z250" s="1" t="s">
        <v>1836</v>
      </c>
      <c r="AA250" s="75">
        <v>45108</v>
      </c>
      <c r="AB250" s="75">
        <v>45108</v>
      </c>
      <c r="AC250" s="88">
        <v>400000</v>
      </c>
      <c r="AD250" s="88">
        <v>22840000</v>
      </c>
    </row>
    <row r="251" spans="1:30" ht="17.399999999999999" customHeight="1" x14ac:dyDescent="0.4">
      <c r="A251" s="29">
        <v>248</v>
      </c>
      <c r="B251" s="29" t="str">
        <f t="shared" si="12"/>
        <v>250</v>
      </c>
      <c r="C251" s="29" t="str">
        <f t="shared" si="13"/>
        <v>D</v>
      </c>
      <c r="D251" s="29" t="str">
        <f t="shared" si="14"/>
        <v>B</v>
      </c>
      <c r="E251" s="29" t="str">
        <f t="shared" si="15"/>
        <v>F</v>
      </c>
      <c r="F251" s="1" t="s">
        <v>1931</v>
      </c>
      <c r="G251" s="1" t="s">
        <v>76</v>
      </c>
      <c r="H251" s="1" t="s">
        <v>76</v>
      </c>
      <c r="I251" s="1" t="s">
        <v>19</v>
      </c>
      <c r="J251" s="1" t="s">
        <v>31</v>
      </c>
      <c r="K251" s="1" t="s">
        <v>76</v>
      </c>
      <c r="L251" s="1" t="s">
        <v>911</v>
      </c>
      <c r="M251" s="1" t="s">
        <v>22</v>
      </c>
      <c r="N251" s="1" t="s">
        <v>81</v>
      </c>
      <c r="O251" s="1" t="s">
        <v>62</v>
      </c>
      <c r="P251" s="1" t="s">
        <v>41</v>
      </c>
      <c r="Q251" s="1" t="s">
        <v>82</v>
      </c>
      <c r="R251" s="1" t="s">
        <v>912</v>
      </c>
      <c r="S251" s="75">
        <v>45078</v>
      </c>
      <c r="T251" s="1">
        <v>0</v>
      </c>
      <c r="U251" s="1"/>
      <c r="V251" s="1" t="s">
        <v>36</v>
      </c>
      <c r="W251" s="1"/>
      <c r="X251" s="1"/>
      <c r="Y251" s="1"/>
      <c r="Z251" s="1" t="s">
        <v>1836</v>
      </c>
      <c r="AA251" s="75">
        <v>45108</v>
      </c>
      <c r="AB251" s="75">
        <v>45108</v>
      </c>
      <c r="AC251" s="88">
        <v>400000</v>
      </c>
      <c r="AD251" s="88">
        <v>22840000</v>
      </c>
    </row>
    <row r="252" spans="1:30" ht="17.399999999999999" customHeight="1" x14ac:dyDescent="0.4">
      <c r="A252" s="29">
        <v>249</v>
      </c>
      <c r="B252" s="29" t="str">
        <f t="shared" si="12"/>
        <v>251</v>
      </c>
      <c r="C252" s="29" t="str">
        <f t="shared" si="13"/>
        <v>D</v>
      </c>
      <c r="D252" s="29" t="str">
        <f t="shared" si="14"/>
        <v>B</v>
      </c>
      <c r="E252" s="29" t="str">
        <f t="shared" si="15"/>
        <v>F</v>
      </c>
      <c r="F252" s="1" t="s">
        <v>1932</v>
      </c>
      <c r="G252" s="1" t="s">
        <v>76</v>
      </c>
      <c r="H252" s="1" t="s">
        <v>76</v>
      </c>
      <c r="I252" s="1" t="s">
        <v>19</v>
      </c>
      <c r="J252" s="1" t="s">
        <v>31</v>
      </c>
      <c r="K252" s="1" t="s">
        <v>76</v>
      </c>
      <c r="L252" s="1" t="s">
        <v>913</v>
      </c>
      <c r="M252" s="1" t="s">
        <v>22</v>
      </c>
      <c r="N252" s="1" t="s">
        <v>81</v>
      </c>
      <c r="O252" s="1" t="s">
        <v>62</v>
      </c>
      <c r="P252" s="1" t="s">
        <v>41</v>
      </c>
      <c r="Q252" s="1" t="s">
        <v>82</v>
      </c>
      <c r="R252" s="1" t="s">
        <v>914</v>
      </c>
      <c r="S252" s="75">
        <v>45078</v>
      </c>
      <c r="T252" s="1">
        <v>0</v>
      </c>
      <c r="U252" s="1"/>
      <c r="V252" s="1" t="s">
        <v>36</v>
      </c>
      <c r="W252" s="1"/>
      <c r="X252" s="1"/>
      <c r="Y252" s="1"/>
      <c r="Z252" s="1" t="s">
        <v>1836</v>
      </c>
      <c r="AA252" s="75">
        <v>45108</v>
      </c>
      <c r="AB252" s="75">
        <v>45108</v>
      </c>
      <c r="AC252" s="88">
        <v>400000</v>
      </c>
      <c r="AD252" s="88">
        <v>22840000</v>
      </c>
    </row>
    <row r="253" spans="1:30" ht="17.399999999999999" customHeight="1" x14ac:dyDescent="0.4">
      <c r="A253" s="29">
        <v>250</v>
      </c>
      <c r="B253" s="29" t="str">
        <f t="shared" si="12"/>
        <v>252</v>
      </c>
      <c r="C253" s="29" t="str">
        <f t="shared" si="13"/>
        <v>D</v>
      </c>
      <c r="D253" s="29" t="str">
        <f t="shared" si="14"/>
        <v>B</v>
      </c>
      <c r="E253" s="29" t="str">
        <f t="shared" si="15"/>
        <v>F</v>
      </c>
      <c r="F253" s="1" t="s">
        <v>1933</v>
      </c>
      <c r="G253" s="1" t="s">
        <v>76</v>
      </c>
      <c r="H253" s="1" t="s">
        <v>76</v>
      </c>
      <c r="I253" s="1" t="s">
        <v>19</v>
      </c>
      <c r="J253" s="1" t="s">
        <v>31</v>
      </c>
      <c r="K253" s="1" t="s">
        <v>76</v>
      </c>
      <c r="L253" s="1" t="s">
        <v>915</v>
      </c>
      <c r="M253" s="1" t="s">
        <v>22</v>
      </c>
      <c r="N253" s="1" t="s">
        <v>81</v>
      </c>
      <c r="O253" s="1" t="s">
        <v>129</v>
      </c>
      <c r="P253" s="1" t="s">
        <v>41</v>
      </c>
      <c r="Q253" s="1" t="s">
        <v>916</v>
      </c>
      <c r="R253" s="1" t="s">
        <v>917</v>
      </c>
      <c r="S253" s="75">
        <v>45078</v>
      </c>
      <c r="T253" s="1">
        <v>0</v>
      </c>
      <c r="U253" s="1"/>
      <c r="V253" s="1" t="s">
        <v>36</v>
      </c>
      <c r="W253" s="1"/>
      <c r="X253" s="1"/>
      <c r="Y253" s="1"/>
      <c r="Z253" s="1" t="s">
        <v>1836</v>
      </c>
      <c r="AA253" s="75">
        <v>45108</v>
      </c>
      <c r="AB253" s="75">
        <v>45108</v>
      </c>
      <c r="AC253" s="88">
        <v>400000</v>
      </c>
      <c r="AD253" s="88">
        <v>21720000</v>
      </c>
    </row>
    <row r="254" spans="1:30" ht="17.399999999999999" customHeight="1" x14ac:dyDescent="0.4">
      <c r="A254" s="29">
        <v>251</v>
      </c>
      <c r="B254" s="29" t="str">
        <f t="shared" si="12"/>
        <v>253</v>
      </c>
      <c r="C254" s="29" t="str">
        <f t="shared" si="13"/>
        <v>D</v>
      </c>
      <c r="D254" s="29" t="str">
        <f t="shared" si="14"/>
        <v>B</v>
      </c>
      <c r="E254" s="29" t="str">
        <f t="shared" si="15"/>
        <v>F</v>
      </c>
      <c r="F254" s="1" t="s">
        <v>1934</v>
      </c>
      <c r="G254" s="1" t="s">
        <v>76</v>
      </c>
      <c r="H254" s="1" t="s">
        <v>76</v>
      </c>
      <c r="I254" s="1" t="s">
        <v>19</v>
      </c>
      <c r="J254" s="1" t="s">
        <v>31</v>
      </c>
      <c r="K254" s="1" t="s">
        <v>76</v>
      </c>
      <c r="L254" s="1" t="s">
        <v>918</v>
      </c>
      <c r="M254" s="1" t="s">
        <v>22</v>
      </c>
      <c r="N254" s="1" t="s">
        <v>81</v>
      </c>
      <c r="O254" s="1" t="s">
        <v>129</v>
      </c>
      <c r="P254" s="1" t="s">
        <v>41</v>
      </c>
      <c r="Q254" s="1" t="s">
        <v>916</v>
      </c>
      <c r="R254" s="1" t="s">
        <v>919</v>
      </c>
      <c r="S254" s="75">
        <v>45078</v>
      </c>
      <c r="T254" s="1">
        <v>0</v>
      </c>
      <c r="U254" s="1"/>
      <c r="V254" s="1" t="s">
        <v>36</v>
      </c>
      <c r="W254" s="1"/>
      <c r="X254" s="1"/>
      <c r="Y254" s="1"/>
      <c r="Z254" s="1" t="s">
        <v>1836</v>
      </c>
      <c r="AA254" s="75">
        <v>45108</v>
      </c>
      <c r="AB254" s="75">
        <v>45108</v>
      </c>
      <c r="AC254" s="88">
        <v>400000</v>
      </c>
      <c r="AD254" s="88">
        <v>21720000</v>
      </c>
    </row>
    <row r="255" spans="1:30" x14ac:dyDescent="0.4">
      <c r="A255" s="29">
        <v>252</v>
      </c>
      <c r="B255" s="29" t="str">
        <f t="shared" si="12"/>
        <v>254</v>
      </c>
      <c r="C255" s="29" t="str">
        <f t="shared" si="13"/>
        <v>C</v>
      </c>
      <c r="D255" s="29" t="str">
        <f t="shared" si="14"/>
        <v>B</v>
      </c>
      <c r="E255" s="29" t="str">
        <f t="shared" si="15"/>
        <v>F</v>
      </c>
      <c r="F255" s="1" t="s">
        <v>920</v>
      </c>
      <c r="G255" s="1" t="s">
        <v>76</v>
      </c>
      <c r="H255" s="1" t="s">
        <v>76</v>
      </c>
      <c r="I255" s="1" t="s">
        <v>19</v>
      </c>
      <c r="J255" s="1" t="s">
        <v>31</v>
      </c>
      <c r="K255" s="1" t="s">
        <v>76</v>
      </c>
      <c r="L255" s="1" t="s">
        <v>921</v>
      </c>
      <c r="M255" s="1" t="s">
        <v>22</v>
      </c>
      <c r="N255" s="1" t="s">
        <v>118</v>
      </c>
      <c r="O255" s="1" t="s">
        <v>33</v>
      </c>
      <c r="P255" s="1" t="s">
        <v>24</v>
      </c>
      <c r="Q255" s="1"/>
      <c r="R255" s="1" t="s">
        <v>922</v>
      </c>
      <c r="S255" s="75">
        <v>43132</v>
      </c>
      <c r="T255" s="1">
        <v>0</v>
      </c>
      <c r="U255" s="1"/>
      <c r="V255" s="1" t="s">
        <v>36</v>
      </c>
      <c r="W255" s="1"/>
      <c r="X255" s="1"/>
      <c r="Y255" s="1"/>
      <c r="Z255" s="1" t="s">
        <v>1836</v>
      </c>
      <c r="AA255" s="75">
        <v>45108</v>
      </c>
      <c r="AB255" s="75">
        <v>45108</v>
      </c>
      <c r="AC255" s="88">
        <v>490000</v>
      </c>
      <c r="AD255" s="88">
        <v>21500000</v>
      </c>
    </row>
    <row r="256" spans="1:30" ht="17.399999999999999" customHeight="1" x14ac:dyDescent="0.4">
      <c r="A256" s="29">
        <v>253</v>
      </c>
      <c r="B256" s="29" t="str">
        <f t="shared" si="12"/>
        <v>255</v>
      </c>
      <c r="C256" s="29" t="str">
        <f t="shared" si="13"/>
        <v>C</v>
      </c>
      <c r="D256" s="29" t="str">
        <f t="shared" si="14"/>
        <v>B</v>
      </c>
      <c r="E256" s="29" t="str">
        <f t="shared" si="15"/>
        <v>H</v>
      </c>
      <c r="F256" s="1" t="s">
        <v>1935</v>
      </c>
      <c r="G256" s="1" t="s">
        <v>76</v>
      </c>
      <c r="H256" s="1" t="s">
        <v>76</v>
      </c>
      <c r="I256" s="1" t="s">
        <v>19</v>
      </c>
      <c r="J256" s="1" t="s">
        <v>31</v>
      </c>
      <c r="K256" s="1" t="s">
        <v>1365</v>
      </c>
      <c r="L256" s="1" t="s">
        <v>1195</v>
      </c>
      <c r="M256" s="1" t="s">
        <v>22</v>
      </c>
      <c r="N256" s="1" t="s">
        <v>1936</v>
      </c>
      <c r="O256" s="1" t="s">
        <v>129</v>
      </c>
      <c r="P256" s="1" t="s">
        <v>24</v>
      </c>
      <c r="Q256" s="1" t="s">
        <v>923</v>
      </c>
      <c r="R256" s="1" t="s">
        <v>924</v>
      </c>
      <c r="S256" s="75">
        <v>45078</v>
      </c>
      <c r="T256" s="1">
        <v>0</v>
      </c>
      <c r="U256" s="1"/>
      <c r="V256" s="1" t="s">
        <v>36</v>
      </c>
      <c r="W256" s="1"/>
      <c r="X256" s="1"/>
      <c r="Y256" s="1"/>
      <c r="Z256" s="1" t="s">
        <v>1836</v>
      </c>
      <c r="AA256" s="75">
        <v>45108</v>
      </c>
      <c r="AB256" s="75">
        <v>45729</v>
      </c>
      <c r="AC256" s="88">
        <v>450000</v>
      </c>
      <c r="AD256" s="88">
        <v>3200000</v>
      </c>
    </row>
    <row r="257" spans="1:30" x14ac:dyDescent="0.4">
      <c r="A257" s="29">
        <v>254</v>
      </c>
      <c r="B257" s="29" t="str">
        <f t="shared" si="12"/>
        <v>256</v>
      </c>
      <c r="C257" s="29" t="str">
        <f t="shared" si="13"/>
        <v>T</v>
      </c>
      <c r="D257" s="29" t="str">
        <f t="shared" si="14"/>
        <v>B</v>
      </c>
      <c r="E257" s="29" t="str">
        <f t="shared" si="15"/>
        <v>F</v>
      </c>
      <c r="F257" s="1" t="s">
        <v>925</v>
      </c>
      <c r="G257" s="1" t="s">
        <v>1734</v>
      </c>
      <c r="H257" s="1" t="s">
        <v>1734</v>
      </c>
      <c r="I257" s="1" t="s">
        <v>19</v>
      </c>
      <c r="J257" s="1" t="s">
        <v>31</v>
      </c>
      <c r="K257" s="1" t="s">
        <v>228</v>
      </c>
      <c r="L257" s="1" t="s">
        <v>926</v>
      </c>
      <c r="M257" s="1" t="s">
        <v>22</v>
      </c>
      <c r="N257" s="1" t="s">
        <v>118</v>
      </c>
      <c r="O257" s="1" t="s">
        <v>129</v>
      </c>
      <c r="P257" s="1" t="s">
        <v>124</v>
      </c>
      <c r="Q257" s="1"/>
      <c r="R257" s="1" t="s">
        <v>927</v>
      </c>
      <c r="S257" s="75">
        <v>43435</v>
      </c>
      <c r="T257" s="1">
        <v>0</v>
      </c>
      <c r="U257" s="1"/>
      <c r="V257" s="1" t="s">
        <v>36</v>
      </c>
      <c r="W257" s="1"/>
      <c r="X257" s="1"/>
      <c r="Y257" s="1"/>
      <c r="Z257" s="1" t="s">
        <v>1836</v>
      </c>
      <c r="AA257" s="75">
        <v>45108</v>
      </c>
      <c r="AB257" s="75">
        <v>45108</v>
      </c>
      <c r="AC257" s="88">
        <v>432000</v>
      </c>
      <c r="AD257" s="88">
        <v>13600000</v>
      </c>
    </row>
    <row r="258" spans="1:30" x14ac:dyDescent="0.4">
      <c r="A258" s="29">
        <v>255</v>
      </c>
      <c r="B258" s="29" t="str">
        <f t="shared" si="12"/>
        <v>257</v>
      </c>
      <c r="C258" s="29" t="str">
        <f t="shared" si="13"/>
        <v>C</v>
      </c>
      <c r="D258" s="29" t="str">
        <f t="shared" si="14"/>
        <v>B</v>
      </c>
      <c r="E258" s="29" t="str">
        <f t="shared" si="15"/>
        <v>F</v>
      </c>
      <c r="F258" s="1" t="s">
        <v>928</v>
      </c>
      <c r="G258" s="1" t="s">
        <v>76</v>
      </c>
      <c r="H258" s="1" t="s">
        <v>76</v>
      </c>
      <c r="I258" s="1" t="s">
        <v>19</v>
      </c>
      <c r="J258" s="1" t="s">
        <v>31</v>
      </c>
      <c r="K258" s="1" t="s">
        <v>76</v>
      </c>
      <c r="L258" s="1" t="s">
        <v>929</v>
      </c>
      <c r="M258" s="1" t="s">
        <v>22</v>
      </c>
      <c r="N258" s="1" t="s">
        <v>118</v>
      </c>
      <c r="O258" s="1" t="s">
        <v>33</v>
      </c>
      <c r="P258" s="1" t="s">
        <v>24</v>
      </c>
      <c r="Q258" s="1"/>
      <c r="R258" s="1" t="s">
        <v>930</v>
      </c>
      <c r="S258" s="75">
        <v>42370</v>
      </c>
      <c r="T258" s="1">
        <v>0</v>
      </c>
      <c r="U258" s="1"/>
      <c r="V258" s="1" t="s">
        <v>36</v>
      </c>
      <c r="W258" s="1"/>
      <c r="X258" s="1"/>
      <c r="Y258" s="1"/>
      <c r="Z258" s="1" t="s">
        <v>1836</v>
      </c>
      <c r="AA258" s="75">
        <v>45108</v>
      </c>
      <c r="AB258" s="75">
        <v>45108</v>
      </c>
      <c r="AC258" s="88">
        <v>490000</v>
      </c>
      <c r="AD258" s="88">
        <v>12300000</v>
      </c>
    </row>
    <row r="259" spans="1:30" x14ac:dyDescent="0.4">
      <c r="A259" s="29">
        <v>256</v>
      </c>
      <c r="B259" s="29" t="str">
        <f t="shared" si="12"/>
        <v>258</v>
      </c>
      <c r="C259" s="29" t="str">
        <f t="shared" si="13"/>
        <v>C</v>
      </c>
      <c r="D259" s="29" t="str">
        <f t="shared" si="14"/>
        <v>B</v>
      </c>
      <c r="E259" s="29" t="str">
        <f t="shared" si="15"/>
        <v>F</v>
      </c>
      <c r="F259" s="1" t="s">
        <v>931</v>
      </c>
      <c r="G259" s="1" t="s">
        <v>76</v>
      </c>
      <c r="H259" s="1" t="s">
        <v>76</v>
      </c>
      <c r="I259" s="1" t="s">
        <v>19</v>
      </c>
      <c r="J259" s="1" t="s">
        <v>31</v>
      </c>
      <c r="K259" s="1" t="s">
        <v>76</v>
      </c>
      <c r="L259" s="1" t="s">
        <v>932</v>
      </c>
      <c r="M259" s="1" t="s">
        <v>22</v>
      </c>
      <c r="N259" s="1" t="s">
        <v>118</v>
      </c>
      <c r="O259" s="1" t="s">
        <v>33</v>
      </c>
      <c r="P259" s="1" t="s">
        <v>24</v>
      </c>
      <c r="Q259" s="1"/>
      <c r="R259" s="1" t="s">
        <v>933</v>
      </c>
      <c r="S259" s="75">
        <v>41640</v>
      </c>
      <c r="T259" s="1">
        <v>0</v>
      </c>
      <c r="U259" s="1"/>
      <c r="V259" s="1" t="s">
        <v>36</v>
      </c>
      <c r="W259" s="1"/>
      <c r="X259" s="1"/>
      <c r="Y259" s="1"/>
      <c r="Z259" s="1" t="s">
        <v>1836</v>
      </c>
      <c r="AA259" s="75">
        <v>45108</v>
      </c>
      <c r="AB259" s="75">
        <v>45108</v>
      </c>
      <c r="AC259" s="88">
        <v>490000</v>
      </c>
      <c r="AD259" s="88">
        <v>12300000</v>
      </c>
    </row>
    <row r="260" spans="1:30" ht="17.399999999999999" customHeight="1" x14ac:dyDescent="0.4">
      <c r="A260" s="29">
        <v>257</v>
      </c>
      <c r="B260" s="29" t="str">
        <f t="shared" si="12"/>
        <v>259</v>
      </c>
      <c r="C260" s="29" t="str">
        <f t="shared" si="13"/>
        <v>C</v>
      </c>
      <c r="D260" s="29" t="str">
        <f t="shared" si="14"/>
        <v>B</v>
      </c>
      <c r="E260" s="29" t="str">
        <f t="shared" si="15"/>
        <v>F</v>
      </c>
      <c r="F260" s="1" t="s">
        <v>1937</v>
      </c>
      <c r="G260" s="1" t="s">
        <v>76</v>
      </c>
      <c r="H260" s="1" t="s">
        <v>76</v>
      </c>
      <c r="I260" s="1" t="s">
        <v>19</v>
      </c>
      <c r="J260" s="1" t="s">
        <v>31</v>
      </c>
      <c r="K260" s="1" t="s">
        <v>76</v>
      </c>
      <c r="L260" s="1" t="s">
        <v>934</v>
      </c>
      <c r="M260" s="1" t="s">
        <v>22</v>
      </c>
      <c r="N260" s="1" t="s">
        <v>81</v>
      </c>
      <c r="O260" s="1" t="s">
        <v>33</v>
      </c>
      <c r="P260" s="1" t="s">
        <v>24</v>
      </c>
      <c r="Q260" s="1"/>
      <c r="R260" s="1" t="s">
        <v>935</v>
      </c>
      <c r="S260" s="75">
        <v>43831</v>
      </c>
      <c r="T260" s="1">
        <v>0</v>
      </c>
      <c r="U260" s="1"/>
      <c r="V260" s="1" t="s">
        <v>36</v>
      </c>
      <c r="W260" s="1"/>
      <c r="X260" s="1"/>
      <c r="Y260" s="1"/>
      <c r="Z260" s="1" t="s">
        <v>1836</v>
      </c>
      <c r="AA260" s="75">
        <v>45108</v>
      </c>
      <c r="AB260" s="75">
        <v>45108</v>
      </c>
      <c r="AC260" s="88">
        <v>440000</v>
      </c>
      <c r="AD260" s="88">
        <v>17200000</v>
      </c>
    </row>
    <row r="261" spans="1:30" ht="17.399999999999999" customHeight="1" x14ac:dyDescent="0.4">
      <c r="A261" s="29">
        <v>258</v>
      </c>
      <c r="B261" s="29" t="str">
        <f t="shared" ref="B261:B324" si="16">MID(F261,8,3)</f>
        <v>260</v>
      </c>
      <c r="C261" s="29" t="str">
        <f t="shared" ref="C261:C324" si="17">MID(F261,1,1)</f>
        <v>C</v>
      </c>
      <c r="D261" s="29" t="str">
        <f t="shared" ref="D261:D324" si="18">MID(F261,3,1)</f>
        <v>B</v>
      </c>
      <c r="E261" s="29" t="str">
        <f t="shared" ref="E261:E324" si="19">MID(F261,2,1)</f>
        <v>F</v>
      </c>
      <c r="F261" s="1" t="s">
        <v>1938</v>
      </c>
      <c r="G261" s="1" t="s">
        <v>76</v>
      </c>
      <c r="H261" s="1" t="s">
        <v>76</v>
      </c>
      <c r="I261" s="1" t="s">
        <v>19</v>
      </c>
      <c r="J261" s="1" t="s">
        <v>31</v>
      </c>
      <c r="K261" s="1" t="s">
        <v>76</v>
      </c>
      <c r="L261" s="1" t="s">
        <v>936</v>
      </c>
      <c r="M261" s="1" t="s">
        <v>22</v>
      </c>
      <c r="N261" s="1" t="s">
        <v>81</v>
      </c>
      <c r="O261" s="1" t="s">
        <v>33</v>
      </c>
      <c r="P261" s="1" t="s">
        <v>24</v>
      </c>
      <c r="Q261" s="1"/>
      <c r="R261" s="1" t="s">
        <v>937</v>
      </c>
      <c r="S261" s="75">
        <v>43831</v>
      </c>
      <c r="T261" s="1">
        <v>0</v>
      </c>
      <c r="U261" s="1"/>
      <c r="V261" s="1" t="s">
        <v>36</v>
      </c>
      <c r="W261" s="1"/>
      <c r="X261" s="1"/>
      <c r="Y261" s="1"/>
      <c r="Z261" s="1" t="s">
        <v>1836</v>
      </c>
      <c r="AA261" s="75">
        <v>45108</v>
      </c>
      <c r="AB261" s="75">
        <v>45108</v>
      </c>
      <c r="AC261" s="88">
        <v>440000</v>
      </c>
      <c r="AD261" s="88">
        <v>17200000</v>
      </c>
    </row>
    <row r="262" spans="1:30" ht="17.399999999999999" customHeight="1" x14ac:dyDescent="0.4">
      <c r="A262" s="29">
        <v>259</v>
      </c>
      <c r="B262" s="29" t="str">
        <f t="shared" si="16"/>
        <v>261</v>
      </c>
      <c r="C262" s="29" t="str">
        <f t="shared" si="17"/>
        <v>C</v>
      </c>
      <c r="D262" s="29" t="str">
        <f t="shared" si="18"/>
        <v>B</v>
      </c>
      <c r="E262" s="29" t="str">
        <f t="shared" si="19"/>
        <v>F</v>
      </c>
      <c r="F262" s="1" t="s">
        <v>1939</v>
      </c>
      <c r="G262" s="1" t="s">
        <v>76</v>
      </c>
      <c r="H262" s="1" t="s">
        <v>76</v>
      </c>
      <c r="I262" s="1" t="s">
        <v>19</v>
      </c>
      <c r="J262" s="1" t="s">
        <v>31</v>
      </c>
      <c r="K262" s="1" t="s">
        <v>76</v>
      </c>
      <c r="L262" s="1" t="s">
        <v>938</v>
      </c>
      <c r="M262" s="1" t="s">
        <v>22</v>
      </c>
      <c r="N262" s="1" t="s">
        <v>81</v>
      </c>
      <c r="O262" s="1" t="s">
        <v>33</v>
      </c>
      <c r="P262" s="1" t="s">
        <v>24</v>
      </c>
      <c r="Q262" s="1" t="s">
        <v>724</v>
      </c>
      <c r="R262" s="1" t="s">
        <v>939</v>
      </c>
      <c r="S262" s="75">
        <v>41275</v>
      </c>
      <c r="T262" s="1">
        <v>0</v>
      </c>
      <c r="U262" s="1"/>
      <c r="V262" s="1" t="s">
        <v>36</v>
      </c>
      <c r="W262" s="1"/>
      <c r="X262" s="1"/>
      <c r="Y262" s="1"/>
      <c r="Z262" s="1" t="s">
        <v>1836</v>
      </c>
      <c r="AA262" s="75">
        <v>45108</v>
      </c>
      <c r="AB262" s="75">
        <v>45108</v>
      </c>
      <c r="AC262" s="88">
        <v>440000</v>
      </c>
      <c r="AD262" s="88">
        <v>12000000</v>
      </c>
    </row>
    <row r="263" spans="1:30" x14ac:dyDescent="0.4">
      <c r="A263" s="29">
        <v>260</v>
      </c>
      <c r="B263" s="29" t="str">
        <f t="shared" si="16"/>
        <v>262</v>
      </c>
      <c r="C263" s="29" t="str">
        <f t="shared" si="17"/>
        <v>C</v>
      </c>
      <c r="D263" s="29" t="str">
        <f t="shared" si="18"/>
        <v>B</v>
      </c>
      <c r="E263" s="29" t="str">
        <f t="shared" si="19"/>
        <v>F</v>
      </c>
      <c r="F263" s="1" t="s">
        <v>2064</v>
      </c>
      <c r="G263" s="1" t="s">
        <v>76</v>
      </c>
      <c r="H263" s="1" t="s">
        <v>76</v>
      </c>
      <c r="I263" s="1" t="s">
        <v>19</v>
      </c>
      <c r="J263" s="1" t="s">
        <v>31</v>
      </c>
      <c r="K263" s="1" t="s">
        <v>76</v>
      </c>
      <c r="L263" s="1" t="s">
        <v>940</v>
      </c>
      <c r="M263" s="1" t="s">
        <v>22</v>
      </c>
      <c r="N263" s="1" t="s">
        <v>118</v>
      </c>
      <c r="O263" s="1" t="s">
        <v>33</v>
      </c>
      <c r="P263" s="1" t="s">
        <v>24</v>
      </c>
      <c r="Q263" s="1" t="s">
        <v>34</v>
      </c>
      <c r="R263" s="1" t="s">
        <v>941</v>
      </c>
      <c r="S263" s="75">
        <v>42370</v>
      </c>
      <c r="T263" s="1">
        <v>0</v>
      </c>
      <c r="U263" s="1"/>
      <c r="V263" s="1" t="s">
        <v>36</v>
      </c>
      <c r="W263" s="1"/>
      <c r="X263" s="1"/>
      <c r="Y263" s="1"/>
      <c r="Z263" s="1" t="s">
        <v>1836</v>
      </c>
      <c r="AA263" s="75">
        <v>45108</v>
      </c>
      <c r="AB263" s="75">
        <v>45108</v>
      </c>
      <c r="AC263" s="88">
        <v>570000</v>
      </c>
      <c r="AD263" s="88">
        <v>12300000</v>
      </c>
    </row>
    <row r="264" spans="1:30" ht="17.399999999999999" customHeight="1" x14ac:dyDescent="0.4">
      <c r="A264" s="29">
        <v>261</v>
      </c>
      <c r="B264" s="29" t="str">
        <f t="shared" si="16"/>
        <v>263</v>
      </c>
      <c r="C264" s="29" t="str">
        <f t="shared" si="17"/>
        <v>D</v>
      </c>
      <c r="D264" s="29" t="str">
        <f t="shared" si="18"/>
        <v>O</v>
      </c>
      <c r="E264" s="29" t="str">
        <f t="shared" si="19"/>
        <v>F</v>
      </c>
      <c r="F264" s="1" t="s">
        <v>942</v>
      </c>
      <c r="G264" s="1" t="s">
        <v>486</v>
      </c>
      <c r="H264" s="1" t="s">
        <v>45</v>
      </c>
      <c r="I264" s="1" t="s">
        <v>19</v>
      </c>
      <c r="J264" s="1" t="s">
        <v>39</v>
      </c>
      <c r="K264" s="1" t="s">
        <v>943</v>
      </c>
      <c r="L264" s="1" t="s">
        <v>944</v>
      </c>
      <c r="M264" s="1" t="s">
        <v>22</v>
      </c>
      <c r="N264" s="1" t="s">
        <v>118</v>
      </c>
      <c r="O264" s="1" t="s">
        <v>339</v>
      </c>
      <c r="P264" s="1" t="s">
        <v>41</v>
      </c>
      <c r="Q264" s="1" t="s">
        <v>835</v>
      </c>
      <c r="R264" s="1" t="s">
        <v>945</v>
      </c>
      <c r="S264" s="75">
        <v>45108</v>
      </c>
      <c r="T264" s="1">
        <v>0</v>
      </c>
      <c r="U264" s="1" t="s">
        <v>946</v>
      </c>
      <c r="V264" s="1" t="s">
        <v>27</v>
      </c>
      <c r="W264" s="1" t="s">
        <v>1848</v>
      </c>
      <c r="X264" s="1" t="s">
        <v>45</v>
      </c>
      <c r="Y264" s="1" t="s">
        <v>1860</v>
      </c>
      <c r="Z264" s="1" t="s">
        <v>45</v>
      </c>
      <c r="AA264" s="75">
        <v>45108</v>
      </c>
      <c r="AB264" s="75">
        <v>45108</v>
      </c>
      <c r="AC264" s="88">
        <v>1000000</v>
      </c>
      <c r="AD264" s="88">
        <v>54340000</v>
      </c>
    </row>
    <row r="265" spans="1:30" ht="17.399999999999999" customHeight="1" x14ac:dyDescent="0.4">
      <c r="A265" s="29">
        <v>262</v>
      </c>
      <c r="B265" s="29" t="str">
        <f t="shared" si="16"/>
        <v>264</v>
      </c>
      <c r="C265" s="29" t="str">
        <f t="shared" si="17"/>
        <v>L</v>
      </c>
      <c r="D265" s="29" t="str">
        <f t="shared" si="18"/>
        <v>B</v>
      </c>
      <c r="E265" s="29" t="str">
        <f t="shared" si="19"/>
        <v>H</v>
      </c>
      <c r="F265" s="1" t="s">
        <v>1940</v>
      </c>
      <c r="G265" s="1" t="s">
        <v>947</v>
      </c>
      <c r="H265" s="1" t="s">
        <v>1693</v>
      </c>
      <c r="I265" s="1" t="s">
        <v>19</v>
      </c>
      <c r="J265" s="1" t="s">
        <v>1362</v>
      </c>
      <c r="K265" s="1" t="s">
        <v>174</v>
      </c>
      <c r="L265" s="1" t="s">
        <v>736</v>
      </c>
      <c r="M265" s="1" t="s">
        <v>22</v>
      </c>
      <c r="N265" s="1" t="s">
        <v>1886</v>
      </c>
      <c r="O265" s="1" t="s">
        <v>129</v>
      </c>
      <c r="P265" s="1" t="s">
        <v>948</v>
      </c>
      <c r="Q265" s="1" t="s">
        <v>949</v>
      </c>
      <c r="R265" s="1" t="s">
        <v>950</v>
      </c>
      <c r="S265" s="75">
        <v>41091</v>
      </c>
      <c r="T265" s="1">
        <v>0</v>
      </c>
      <c r="U265" s="1"/>
      <c r="V265" s="1" t="s">
        <v>36</v>
      </c>
      <c r="W265" s="1"/>
      <c r="X265" s="1"/>
      <c r="Y265" s="1"/>
      <c r="Z265" s="1" t="s">
        <v>951</v>
      </c>
      <c r="AA265" s="75">
        <v>45163</v>
      </c>
      <c r="AB265" s="75">
        <v>45163</v>
      </c>
      <c r="AC265" s="88">
        <v>0</v>
      </c>
      <c r="AD265" s="88">
        <v>0</v>
      </c>
    </row>
    <row r="266" spans="1:30" ht="17.399999999999999" customHeight="1" x14ac:dyDescent="0.4">
      <c r="A266" s="29">
        <v>263</v>
      </c>
      <c r="B266" s="29" t="str">
        <f t="shared" si="16"/>
        <v>265</v>
      </c>
      <c r="C266" s="29" t="str">
        <f t="shared" si="17"/>
        <v>C</v>
      </c>
      <c r="D266" s="29" t="str">
        <f t="shared" si="18"/>
        <v>O</v>
      </c>
      <c r="E266" s="29" t="str">
        <f t="shared" si="19"/>
        <v>F</v>
      </c>
      <c r="F266" s="1" t="s">
        <v>952</v>
      </c>
      <c r="G266" s="1" t="s">
        <v>38</v>
      </c>
      <c r="H266" s="1" t="s">
        <v>45</v>
      </c>
      <c r="I266" s="1" t="s">
        <v>19</v>
      </c>
      <c r="J266" s="1" t="s">
        <v>39</v>
      </c>
      <c r="K266" s="1" t="s">
        <v>953</v>
      </c>
      <c r="L266" s="1" t="s">
        <v>954</v>
      </c>
      <c r="M266" s="1" t="s">
        <v>22</v>
      </c>
      <c r="N266" s="1" t="s">
        <v>118</v>
      </c>
      <c r="O266" s="1" t="s">
        <v>317</v>
      </c>
      <c r="P266" s="1" t="s">
        <v>24</v>
      </c>
      <c r="Q266" s="1" t="s">
        <v>955</v>
      </c>
      <c r="R266" s="1" t="s">
        <v>956</v>
      </c>
      <c r="S266" s="75">
        <v>45175</v>
      </c>
      <c r="T266" s="1">
        <v>0</v>
      </c>
      <c r="U266" s="1" t="s">
        <v>957</v>
      </c>
      <c r="V266" s="1" t="s">
        <v>27</v>
      </c>
      <c r="W266" s="1" t="s">
        <v>1830</v>
      </c>
      <c r="X266" s="1" t="s">
        <v>1836</v>
      </c>
      <c r="Y266" s="1" t="s">
        <v>1837</v>
      </c>
      <c r="Z266" s="1" t="s">
        <v>1836</v>
      </c>
      <c r="AA266" s="75">
        <v>45176</v>
      </c>
      <c r="AB266" s="75">
        <v>45170</v>
      </c>
      <c r="AC266" s="88">
        <v>900000</v>
      </c>
      <c r="AD266" s="88">
        <v>38400000</v>
      </c>
    </row>
    <row r="267" spans="1:30" ht="17.399999999999999" customHeight="1" x14ac:dyDescent="0.4">
      <c r="A267" s="29">
        <v>264</v>
      </c>
      <c r="B267" s="29" t="str">
        <f t="shared" si="16"/>
        <v>266</v>
      </c>
      <c r="C267" s="29" t="str">
        <f t="shared" si="17"/>
        <v>C</v>
      </c>
      <c r="D267" s="29" t="str">
        <f t="shared" si="18"/>
        <v>B</v>
      </c>
      <c r="E267" s="29" t="str">
        <f t="shared" si="19"/>
        <v>F</v>
      </c>
      <c r="F267" s="1" t="s">
        <v>1941</v>
      </c>
      <c r="G267" s="1" t="s">
        <v>38</v>
      </c>
      <c r="H267" s="1" t="s">
        <v>45</v>
      </c>
      <c r="I267" s="1" t="s">
        <v>19</v>
      </c>
      <c r="J267" s="1" t="s">
        <v>39</v>
      </c>
      <c r="K267" s="1" t="s">
        <v>953</v>
      </c>
      <c r="L267" s="1" t="s">
        <v>958</v>
      </c>
      <c r="M267" s="1" t="s">
        <v>220</v>
      </c>
      <c r="N267" s="1" t="s">
        <v>81</v>
      </c>
      <c r="O267" s="1" t="s">
        <v>62</v>
      </c>
      <c r="P267" s="1" t="s">
        <v>24</v>
      </c>
      <c r="Q267" s="1" t="s">
        <v>103</v>
      </c>
      <c r="R267" s="1" t="s">
        <v>959</v>
      </c>
      <c r="S267" s="75">
        <v>45183</v>
      </c>
      <c r="T267" s="1">
        <v>0</v>
      </c>
      <c r="U267" s="1"/>
      <c r="V267" s="1" t="s">
        <v>27</v>
      </c>
      <c r="W267" s="1" t="s">
        <v>1830</v>
      </c>
      <c r="X267" s="1" t="s">
        <v>1836</v>
      </c>
      <c r="Y267" s="1" t="s">
        <v>1837</v>
      </c>
      <c r="Z267" s="1" t="s">
        <v>1836</v>
      </c>
      <c r="AA267" s="75">
        <v>45184</v>
      </c>
      <c r="AB267" s="75">
        <v>45170</v>
      </c>
      <c r="AC267" s="88">
        <v>800000</v>
      </c>
      <c r="AD267" s="88">
        <v>23290000</v>
      </c>
    </row>
    <row r="268" spans="1:30" x14ac:dyDescent="0.4">
      <c r="A268" s="29">
        <v>265</v>
      </c>
      <c r="B268" s="29" t="str">
        <f t="shared" si="16"/>
        <v>267</v>
      </c>
      <c r="C268" s="29" t="str">
        <f t="shared" si="17"/>
        <v>C</v>
      </c>
      <c r="D268" s="29" t="str">
        <f t="shared" si="18"/>
        <v>B</v>
      </c>
      <c r="E268" s="29" t="str">
        <f t="shared" si="19"/>
        <v>F</v>
      </c>
      <c r="F268" s="1" t="s">
        <v>960</v>
      </c>
      <c r="G268" s="1" t="s">
        <v>961</v>
      </c>
      <c r="H268" s="1" t="s">
        <v>359</v>
      </c>
      <c r="I268" s="1" t="s">
        <v>19</v>
      </c>
      <c r="J268" s="1" t="s">
        <v>31</v>
      </c>
      <c r="K268" s="1" t="s">
        <v>1942</v>
      </c>
      <c r="L268" s="1" t="s">
        <v>962</v>
      </c>
      <c r="M268" s="1" t="s">
        <v>22</v>
      </c>
      <c r="N268" s="1" t="s">
        <v>118</v>
      </c>
      <c r="O268" s="1" t="s">
        <v>23</v>
      </c>
      <c r="P268" s="1" t="s">
        <v>24</v>
      </c>
      <c r="Q268" s="1" t="s">
        <v>963</v>
      </c>
      <c r="R268" s="1" t="s">
        <v>964</v>
      </c>
      <c r="S268" s="75">
        <v>45204</v>
      </c>
      <c r="T268" s="1">
        <v>0</v>
      </c>
      <c r="U268" s="1"/>
      <c r="V268" s="1" t="s">
        <v>36</v>
      </c>
      <c r="W268" s="1"/>
      <c r="X268" s="1"/>
      <c r="Y268" s="1"/>
      <c r="Z268" s="1" t="s">
        <v>1836</v>
      </c>
      <c r="AA268" s="75">
        <v>45205</v>
      </c>
      <c r="AB268" s="75">
        <v>45200</v>
      </c>
      <c r="AC268" s="88">
        <v>700000</v>
      </c>
      <c r="AD268" s="88">
        <v>36000000</v>
      </c>
    </row>
    <row r="269" spans="1:30" x14ac:dyDescent="0.4">
      <c r="A269" s="29">
        <v>266</v>
      </c>
      <c r="B269" s="29" t="str">
        <f t="shared" si="16"/>
        <v>268</v>
      </c>
      <c r="C269" s="29" t="str">
        <f t="shared" si="17"/>
        <v>C</v>
      </c>
      <c r="D269" s="29" t="str">
        <f t="shared" si="18"/>
        <v>B</v>
      </c>
      <c r="E269" s="29" t="str">
        <f t="shared" si="19"/>
        <v>F</v>
      </c>
      <c r="F269" s="1" t="s">
        <v>965</v>
      </c>
      <c r="G269" s="1" t="s">
        <v>413</v>
      </c>
      <c r="H269" s="1" t="s">
        <v>413</v>
      </c>
      <c r="I269" s="1" t="s">
        <v>19</v>
      </c>
      <c r="J269" s="1" t="s">
        <v>414</v>
      </c>
      <c r="K269" s="1" t="s">
        <v>966</v>
      </c>
      <c r="L269" s="1" t="s">
        <v>967</v>
      </c>
      <c r="M269" s="1" t="s">
        <v>22</v>
      </c>
      <c r="N269" s="1" t="s">
        <v>118</v>
      </c>
      <c r="O269" s="1" t="s">
        <v>33</v>
      </c>
      <c r="P269" s="1" t="s">
        <v>24</v>
      </c>
      <c r="Q269" s="1" t="s">
        <v>34</v>
      </c>
      <c r="R269" s="1" t="s">
        <v>968</v>
      </c>
      <c r="S269" s="75">
        <v>45170</v>
      </c>
      <c r="T269" s="1">
        <v>0</v>
      </c>
      <c r="U269" s="1"/>
      <c r="V269" s="1" t="s">
        <v>36</v>
      </c>
      <c r="W269" s="1"/>
      <c r="X269" s="1"/>
      <c r="Y269" s="1"/>
      <c r="Z269" s="1" t="s">
        <v>1836</v>
      </c>
      <c r="AA269" s="75">
        <v>45170</v>
      </c>
      <c r="AB269" s="75">
        <v>45170</v>
      </c>
      <c r="AC269" s="88">
        <v>850000</v>
      </c>
      <c r="AD269" s="88">
        <v>34230000</v>
      </c>
    </row>
    <row r="270" spans="1:30" ht="17.399999999999999" customHeight="1" x14ac:dyDescent="0.4">
      <c r="A270" s="29">
        <v>267</v>
      </c>
      <c r="B270" s="29" t="str">
        <f t="shared" si="16"/>
        <v>269</v>
      </c>
      <c r="C270" s="29" t="str">
        <f t="shared" si="17"/>
        <v>S</v>
      </c>
      <c r="D270" s="29" t="str">
        <f t="shared" si="18"/>
        <v>B</v>
      </c>
      <c r="E270" s="29" t="str">
        <f t="shared" si="19"/>
        <v>H</v>
      </c>
      <c r="F270" s="1" t="s">
        <v>1943</v>
      </c>
      <c r="G270" s="1" t="s">
        <v>413</v>
      </c>
      <c r="H270" s="1" t="s">
        <v>413</v>
      </c>
      <c r="I270" s="1" t="s">
        <v>19</v>
      </c>
      <c r="J270" s="1" t="s">
        <v>414</v>
      </c>
      <c r="K270" s="1" t="s">
        <v>969</v>
      </c>
      <c r="L270" s="1" t="s">
        <v>970</v>
      </c>
      <c r="M270" s="1" t="s">
        <v>220</v>
      </c>
      <c r="N270" s="1" t="s">
        <v>1886</v>
      </c>
      <c r="O270" s="1" t="s">
        <v>136</v>
      </c>
      <c r="P270" s="1" t="s">
        <v>613</v>
      </c>
      <c r="Q270" s="1" t="s">
        <v>971</v>
      </c>
      <c r="R270" s="1" t="s">
        <v>972</v>
      </c>
      <c r="S270" s="75">
        <v>45139</v>
      </c>
      <c r="T270" s="1">
        <v>0</v>
      </c>
      <c r="U270" s="1"/>
      <c r="V270" s="1" t="s">
        <v>36</v>
      </c>
      <c r="W270" s="1"/>
      <c r="X270" s="1"/>
      <c r="Y270" s="1"/>
      <c r="Z270" s="1" t="s">
        <v>1836</v>
      </c>
      <c r="AA270" s="75">
        <v>45200</v>
      </c>
      <c r="AB270" s="75">
        <v>45200</v>
      </c>
      <c r="AC270" s="88">
        <v>400000</v>
      </c>
      <c r="AD270" s="88">
        <v>12900000</v>
      </c>
    </row>
    <row r="271" spans="1:30" ht="17.399999999999999" customHeight="1" x14ac:dyDescent="0.4">
      <c r="A271" s="29">
        <v>268</v>
      </c>
      <c r="B271" s="29" t="str">
        <f t="shared" si="16"/>
        <v>270</v>
      </c>
      <c r="C271" s="29" t="str">
        <f t="shared" si="17"/>
        <v>S</v>
      </c>
      <c r="D271" s="29" t="str">
        <f t="shared" si="18"/>
        <v>B</v>
      </c>
      <c r="E271" s="29" t="str">
        <f t="shared" si="19"/>
        <v>H</v>
      </c>
      <c r="F271" s="1" t="s">
        <v>2065</v>
      </c>
      <c r="G271" s="1" t="s">
        <v>1836</v>
      </c>
      <c r="H271" s="1" t="s">
        <v>1693</v>
      </c>
      <c r="I271" s="1" t="s">
        <v>736</v>
      </c>
      <c r="J271" s="1" t="s">
        <v>31</v>
      </c>
      <c r="K271" s="1" t="s">
        <v>2034</v>
      </c>
      <c r="L271" s="1" t="s">
        <v>2035</v>
      </c>
      <c r="M271" s="1" t="s">
        <v>220</v>
      </c>
      <c r="N271" s="1" t="s">
        <v>1886</v>
      </c>
      <c r="O271" s="1" t="s">
        <v>531</v>
      </c>
      <c r="P271" s="1" t="s">
        <v>613</v>
      </c>
      <c r="Q271" s="1" t="s">
        <v>973</v>
      </c>
      <c r="R271" s="1" t="s">
        <v>974</v>
      </c>
      <c r="S271" s="75">
        <v>45170</v>
      </c>
      <c r="T271" s="1">
        <v>0</v>
      </c>
      <c r="U271" s="1"/>
      <c r="V271" s="1" t="s">
        <v>36</v>
      </c>
      <c r="W271" s="1"/>
      <c r="X271" s="1"/>
      <c r="Y271" s="1"/>
      <c r="Z271" s="1" t="s">
        <v>1836</v>
      </c>
      <c r="AA271" s="75">
        <v>45200</v>
      </c>
      <c r="AB271" s="75">
        <v>46054</v>
      </c>
      <c r="AC271" s="88">
        <v>0</v>
      </c>
      <c r="AD271" s="88">
        <v>14150000</v>
      </c>
    </row>
    <row r="272" spans="1:30" ht="17.399999999999999" customHeight="1" x14ac:dyDescent="0.4">
      <c r="A272" s="29">
        <v>269</v>
      </c>
      <c r="B272" s="29" t="str">
        <f t="shared" si="16"/>
        <v>271</v>
      </c>
      <c r="C272" s="29" t="str">
        <f t="shared" si="17"/>
        <v>S</v>
      </c>
      <c r="D272" s="29" t="str">
        <f t="shared" si="18"/>
        <v>B</v>
      </c>
      <c r="E272" s="29" t="str">
        <f t="shared" si="19"/>
        <v>H</v>
      </c>
      <c r="F272" s="1" t="s">
        <v>1944</v>
      </c>
      <c r="G272" s="1" t="s">
        <v>413</v>
      </c>
      <c r="H272" s="1" t="s">
        <v>413</v>
      </c>
      <c r="I272" s="1" t="s">
        <v>19</v>
      </c>
      <c r="J272" s="1" t="s">
        <v>414</v>
      </c>
      <c r="K272" s="1" t="s">
        <v>969</v>
      </c>
      <c r="L272" s="1" t="s">
        <v>975</v>
      </c>
      <c r="M272" s="1" t="s">
        <v>220</v>
      </c>
      <c r="N272" s="1" t="s">
        <v>1936</v>
      </c>
      <c r="O272" s="1" t="s">
        <v>55</v>
      </c>
      <c r="P272" s="1" t="s">
        <v>613</v>
      </c>
      <c r="Q272" s="1" t="s">
        <v>976</v>
      </c>
      <c r="R272" s="1" t="s">
        <v>977</v>
      </c>
      <c r="S272" s="75">
        <v>45170</v>
      </c>
      <c r="T272" s="1">
        <v>0</v>
      </c>
      <c r="U272" s="1"/>
      <c r="V272" s="1" t="s">
        <v>36</v>
      </c>
      <c r="W272" s="1"/>
      <c r="X272" s="1"/>
      <c r="Y272" s="1"/>
      <c r="Z272" s="1" t="s">
        <v>1836</v>
      </c>
      <c r="AA272" s="75">
        <v>45200</v>
      </c>
      <c r="AB272" s="75">
        <v>45200</v>
      </c>
      <c r="AC272" s="88">
        <v>300000</v>
      </c>
      <c r="AD272" s="88">
        <v>8400000</v>
      </c>
    </row>
    <row r="273" spans="1:30" ht="17.399999999999999" customHeight="1" x14ac:dyDescent="0.4">
      <c r="A273" s="29">
        <v>270</v>
      </c>
      <c r="B273" s="29" t="str">
        <f t="shared" si="16"/>
        <v>272</v>
      </c>
      <c r="C273" s="29" t="str">
        <f t="shared" si="17"/>
        <v>S</v>
      </c>
      <c r="D273" s="29" t="str">
        <f t="shared" si="18"/>
        <v>B</v>
      </c>
      <c r="E273" s="29" t="str">
        <f t="shared" si="19"/>
        <v>H</v>
      </c>
      <c r="F273" s="1" t="s">
        <v>1945</v>
      </c>
      <c r="G273" s="1" t="s">
        <v>1836</v>
      </c>
      <c r="H273" s="1" t="s">
        <v>1693</v>
      </c>
      <c r="I273" s="1" t="s">
        <v>736</v>
      </c>
      <c r="J273" s="1" t="s">
        <v>31</v>
      </c>
      <c r="K273" s="1" t="s">
        <v>1707</v>
      </c>
      <c r="L273" s="1" t="s">
        <v>1421</v>
      </c>
      <c r="M273" s="1" t="s">
        <v>220</v>
      </c>
      <c r="N273" s="1" t="s">
        <v>1936</v>
      </c>
      <c r="O273" s="1" t="s">
        <v>55</v>
      </c>
      <c r="P273" s="1" t="s">
        <v>613</v>
      </c>
      <c r="Q273" s="1" t="s">
        <v>976</v>
      </c>
      <c r="R273" s="1" t="s">
        <v>978</v>
      </c>
      <c r="S273" s="75">
        <v>45170</v>
      </c>
      <c r="T273" s="1">
        <v>0</v>
      </c>
      <c r="U273" s="1"/>
      <c r="V273" s="1" t="s">
        <v>36</v>
      </c>
      <c r="W273" s="1"/>
      <c r="X273" s="1"/>
      <c r="Y273" s="1"/>
      <c r="Z273" s="1" t="s">
        <v>1836</v>
      </c>
      <c r="AA273" s="75">
        <v>45200</v>
      </c>
      <c r="AB273" s="75">
        <v>45839</v>
      </c>
      <c r="AC273" s="88">
        <v>0</v>
      </c>
      <c r="AD273" s="88">
        <v>8400000</v>
      </c>
    </row>
    <row r="274" spans="1:30" ht="17.399999999999999" customHeight="1" x14ac:dyDescent="0.4">
      <c r="A274" s="29">
        <v>271</v>
      </c>
      <c r="B274" s="29" t="str">
        <f t="shared" si="16"/>
        <v>273</v>
      </c>
      <c r="C274" s="29" t="str">
        <f t="shared" si="17"/>
        <v>S</v>
      </c>
      <c r="D274" s="29" t="str">
        <f t="shared" si="18"/>
        <v>B</v>
      </c>
      <c r="E274" s="29" t="str">
        <f t="shared" si="19"/>
        <v>H</v>
      </c>
      <c r="F274" s="1" t="s">
        <v>1946</v>
      </c>
      <c r="G274" s="1" t="s">
        <v>413</v>
      </c>
      <c r="H274" s="1" t="s">
        <v>413</v>
      </c>
      <c r="I274" s="1" t="s">
        <v>19</v>
      </c>
      <c r="J274" s="1" t="s">
        <v>414</v>
      </c>
      <c r="K274" s="1" t="s">
        <v>969</v>
      </c>
      <c r="L274" s="1" t="s">
        <v>979</v>
      </c>
      <c r="M274" s="1" t="s">
        <v>220</v>
      </c>
      <c r="N274" s="1" t="s">
        <v>1936</v>
      </c>
      <c r="O274" s="1" t="s">
        <v>33</v>
      </c>
      <c r="P274" s="1" t="s">
        <v>613</v>
      </c>
      <c r="Q274" s="1" t="s">
        <v>980</v>
      </c>
      <c r="R274" s="1" t="s">
        <v>981</v>
      </c>
      <c r="S274" s="75">
        <v>45170</v>
      </c>
      <c r="T274" s="1">
        <v>0</v>
      </c>
      <c r="U274" s="1"/>
      <c r="V274" s="1" t="s">
        <v>36</v>
      </c>
      <c r="W274" s="1"/>
      <c r="X274" s="1"/>
      <c r="Y274" s="1"/>
      <c r="Z274" s="1" t="s">
        <v>1836</v>
      </c>
      <c r="AA274" s="75">
        <v>45231</v>
      </c>
      <c r="AB274" s="75">
        <v>45231</v>
      </c>
      <c r="AC274" s="88">
        <v>300000</v>
      </c>
      <c r="AD274" s="88">
        <v>9700000</v>
      </c>
    </row>
    <row r="275" spans="1:30" ht="17.399999999999999" customHeight="1" x14ac:dyDescent="0.4">
      <c r="A275" s="29">
        <v>272</v>
      </c>
      <c r="B275" s="29" t="str">
        <f t="shared" si="16"/>
        <v>274</v>
      </c>
      <c r="C275" s="29" t="str">
        <f t="shared" si="17"/>
        <v>S</v>
      </c>
      <c r="D275" s="29" t="str">
        <f t="shared" si="18"/>
        <v>B</v>
      </c>
      <c r="E275" s="29" t="str">
        <f t="shared" si="19"/>
        <v>H</v>
      </c>
      <c r="F275" s="1" t="s">
        <v>1947</v>
      </c>
      <c r="G275" s="1" t="s">
        <v>486</v>
      </c>
      <c r="H275" s="1" t="s">
        <v>45</v>
      </c>
      <c r="I275" s="1" t="s">
        <v>19</v>
      </c>
      <c r="J275" s="1" t="s">
        <v>39</v>
      </c>
      <c r="K275" s="1" t="s">
        <v>982</v>
      </c>
      <c r="L275" s="1" t="s">
        <v>983</v>
      </c>
      <c r="M275" s="1" t="s">
        <v>22</v>
      </c>
      <c r="N275" s="1" t="s">
        <v>1886</v>
      </c>
      <c r="O275" s="1" t="s">
        <v>129</v>
      </c>
      <c r="P275" s="1" t="s">
        <v>613</v>
      </c>
      <c r="Q275" s="1" t="s">
        <v>984</v>
      </c>
      <c r="R275" s="1" t="s">
        <v>985</v>
      </c>
      <c r="S275" s="75">
        <v>45200</v>
      </c>
      <c r="T275" s="1">
        <v>0</v>
      </c>
      <c r="U275" s="1"/>
      <c r="V275" s="1" t="s">
        <v>36</v>
      </c>
      <c r="W275" s="1"/>
      <c r="X275" s="1"/>
      <c r="Y275" s="1"/>
      <c r="Z275" s="1" t="s">
        <v>1836</v>
      </c>
      <c r="AA275" s="75">
        <v>45231</v>
      </c>
      <c r="AB275" s="75">
        <v>45231</v>
      </c>
      <c r="AC275" s="88">
        <v>480000</v>
      </c>
      <c r="AD275" s="88">
        <v>15700000</v>
      </c>
    </row>
    <row r="276" spans="1:30" ht="17.399999999999999" customHeight="1" x14ac:dyDescent="0.4">
      <c r="A276" s="29">
        <v>273</v>
      </c>
      <c r="B276" s="29" t="str">
        <f t="shared" si="16"/>
        <v>275</v>
      </c>
      <c r="C276" s="29" t="str">
        <f t="shared" si="17"/>
        <v>S</v>
      </c>
      <c r="D276" s="29" t="str">
        <f t="shared" si="18"/>
        <v>B</v>
      </c>
      <c r="E276" s="29" t="str">
        <f t="shared" si="19"/>
        <v>H</v>
      </c>
      <c r="F276" s="1" t="s">
        <v>1948</v>
      </c>
      <c r="G276" s="1" t="s">
        <v>486</v>
      </c>
      <c r="H276" s="1" t="s">
        <v>45</v>
      </c>
      <c r="I276" s="1" t="s">
        <v>19</v>
      </c>
      <c r="J276" s="1" t="s">
        <v>39</v>
      </c>
      <c r="K276" s="1" t="s">
        <v>986</v>
      </c>
      <c r="L276" s="1" t="s">
        <v>987</v>
      </c>
      <c r="M276" s="1" t="s">
        <v>22</v>
      </c>
      <c r="N276" s="1" t="s">
        <v>1886</v>
      </c>
      <c r="O276" s="1" t="s">
        <v>129</v>
      </c>
      <c r="P276" s="1" t="s">
        <v>613</v>
      </c>
      <c r="Q276" s="1" t="s">
        <v>984</v>
      </c>
      <c r="R276" s="1" t="s">
        <v>988</v>
      </c>
      <c r="S276" s="75">
        <v>45200</v>
      </c>
      <c r="T276" s="1">
        <v>0</v>
      </c>
      <c r="U276" s="1"/>
      <c r="V276" s="1" t="s">
        <v>36</v>
      </c>
      <c r="W276" s="1"/>
      <c r="X276" s="1"/>
      <c r="Y276" s="1"/>
      <c r="Z276" s="1" t="s">
        <v>1836</v>
      </c>
      <c r="AA276" s="75">
        <v>45231</v>
      </c>
      <c r="AB276" s="75">
        <v>45231</v>
      </c>
      <c r="AC276" s="88">
        <v>480000</v>
      </c>
      <c r="AD276" s="88">
        <v>15700000</v>
      </c>
    </row>
    <row r="277" spans="1:30" ht="17.399999999999999" customHeight="1" x14ac:dyDescent="0.4">
      <c r="A277" s="29">
        <v>274</v>
      </c>
      <c r="B277" s="29" t="str">
        <f t="shared" si="16"/>
        <v>276</v>
      </c>
      <c r="C277" s="29" t="str">
        <f t="shared" si="17"/>
        <v>S</v>
      </c>
      <c r="D277" s="29" t="str">
        <f t="shared" si="18"/>
        <v>B</v>
      </c>
      <c r="E277" s="29" t="str">
        <f t="shared" si="19"/>
        <v>H</v>
      </c>
      <c r="F277" s="1" t="s">
        <v>1949</v>
      </c>
      <c r="G277" s="1" t="s">
        <v>486</v>
      </c>
      <c r="H277" s="1" t="s">
        <v>45</v>
      </c>
      <c r="I277" s="1" t="s">
        <v>19</v>
      </c>
      <c r="J277" s="1" t="s">
        <v>39</v>
      </c>
      <c r="K277" s="1" t="s">
        <v>986</v>
      </c>
      <c r="L277" s="1" t="s">
        <v>989</v>
      </c>
      <c r="M277" s="1" t="s">
        <v>22</v>
      </c>
      <c r="N277" s="1" t="s">
        <v>1886</v>
      </c>
      <c r="O277" s="1" t="s">
        <v>129</v>
      </c>
      <c r="P277" s="1" t="s">
        <v>613</v>
      </c>
      <c r="Q277" s="1" t="s">
        <v>984</v>
      </c>
      <c r="R277" s="1" t="s">
        <v>990</v>
      </c>
      <c r="S277" s="75">
        <v>45200</v>
      </c>
      <c r="T277" s="1">
        <v>0</v>
      </c>
      <c r="U277" s="1"/>
      <c r="V277" s="1" t="s">
        <v>36</v>
      </c>
      <c r="W277" s="1"/>
      <c r="X277" s="1"/>
      <c r="Y277" s="1"/>
      <c r="Z277" s="1" t="s">
        <v>1836</v>
      </c>
      <c r="AA277" s="75">
        <v>45231</v>
      </c>
      <c r="AB277" s="75">
        <v>45231</v>
      </c>
      <c r="AC277" s="88">
        <v>480000</v>
      </c>
      <c r="AD277" s="88">
        <v>15700000</v>
      </c>
    </row>
    <row r="278" spans="1:30" ht="17.399999999999999" customHeight="1" x14ac:dyDescent="0.4">
      <c r="A278" s="29">
        <v>275</v>
      </c>
      <c r="B278" s="29" t="str">
        <f t="shared" si="16"/>
        <v>277</v>
      </c>
      <c r="C278" s="29" t="str">
        <f t="shared" si="17"/>
        <v>S</v>
      </c>
      <c r="D278" s="29" t="str">
        <f t="shared" si="18"/>
        <v>B</v>
      </c>
      <c r="E278" s="29" t="str">
        <f t="shared" si="19"/>
        <v>H</v>
      </c>
      <c r="F278" s="1" t="s">
        <v>1950</v>
      </c>
      <c r="G278" s="1" t="s">
        <v>486</v>
      </c>
      <c r="H278" s="1" t="s">
        <v>45</v>
      </c>
      <c r="I278" s="1" t="s">
        <v>19</v>
      </c>
      <c r="J278" s="1" t="s">
        <v>39</v>
      </c>
      <c r="K278" s="1" t="s">
        <v>991</v>
      </c>
      <c r="L278" s="1" t="s">
        <v>992</v>
      </c>
      <c r="M278" s="1" t="s">
        <v>22</v>
      </c>
      <c r="N278" s="1" t="s">
        <v>1886</v>
      </c>
      <c r="O278" s="1" t="s">
        <v>129</v>
      </c>
      <c r="P278" s="1" t="s">
        <v>613</v>
      </c>
      <c r="Q278" s="1" t="s">
        <v>984</v>
      </c>
      <c r="R278" s="1" t="s">
        <v>993</v>
      </c>
      <c r="S278" s="75">
        <v>45200</v>
      </c>
      <c r="T278" s="1">
        <v>0</v>
      </c>
      <c r="U278" s="1"/>
      <c r="V278" s="1" t="s">
        <v>36</v>
      </c>
      <c r="W278" s="1"/>
      <c r="X278" s="1"/>
      <c r="Y278" s="1"/>
      <c r="Z278" s="1" t="s">
        <v>1836</v>
      </c>
      <c r="AA278" s="75">
        <v>45231</v>
      </c>
      <c r="AB278" s="75">
        <v>45231</v>
      </c>
      <c r="AC278" s="88">
        <v>480000</v>
      </c>
      <c r="AD278" s="88">
        <v>15700000</v>
      </c>
    </row>
    <row r="279" spans="1:30" x14ac:dyDescent="0.4">
      <c r="A279" s="29">
        <v>276</v>
      </c>
      <c r="B279" s="29" t="str">
        <f t="shared" si="16"/>
        <v>278</v>
      </c>
      <c r="C279" s="29" t="str">
        <f t="shared" si="17"/>
        <v>C</v>
      </c>
      <c r="D279" s="29" t="str">
        <f t="shared" si="18"/>
        <v>B</v>
      </c>
      <c r="E279" s="29" t="str">
        <f t="shared" si="19"/>
        <v>F</v>
      </c>
      <c r="F279" s="1" t="s">
        <v>994</v>
      </c>
      <c r="G279" s="1" t="s">
        <v>995</v>
      </c>
      <c r="H279" s="1" t="s">
        <v>995</v>
      </c>
      <c r="I279" s="1" t="s">
        <v>19</v>
      </c>
      <c r="J279" s="1" t="s">
        <v>31</v>
      </c>
      <c r="K279" s="1" t="s">
        <v>995</v>
      </c>
      <c r="L279" s="1" t="s">
        <v>996</v>
      </c>
      <c r="M279" s="1" t="s">
        <v>22</v>
      </c>
      <c r="N279" s="1" t="s">
        <v>118</v>
      </c>
      <c r="O279" s="1" t="s">
        <v>33</v>
      </c>
      <c r="P279" s="1" t="s">
        <v>24</v>
      </c>
      <c r="Q279" s="1" t="s">
        <v>34</v>
      </c>
      <c r="R279" s="1" t="s">
        <v>997</v>
      </c>
      <c r="S279" s="75">
        <v>45256</v>
      </c>
      <c r="T279" s="1">
        <v>0</v>
      </c>
      <c r="U279" s="1"/>
      <c r="V279" s="1" t="s">
        <v>36</v>
      </c>
      <c r="W279" s="1"/>
      <c r="X279" s="1"/>
      <c r="Y279" s="1"/>
      <c r="Z279" s="1" t="s">
        <v>1836</v>
      </c>
      <c r="AA279" s="75">
        <v>45260</v>
      </c>
      <c r="AB279" s="75">
        <v>45261</v>
      </c>
      <c r="AC279" s="88">
        <v>680000</v>
      </c>
      <c r="AD279" s="88">
        <v>33300000</v>
      </c>
    </row>
    <row r="280" spans="1:30" ht="17.399999999999999" customHeight="1" x14ac:dyDescent="0.4">
      <c r="A280" s="29">
        <v>277</v>
      </c>
      <c r="B280" s="29" t="str">
        <f t="shared" si="16"/>
        <v>279</v>
      </c>
      <c r="C280" s="29" t="str">
        <f t="shared" si="17"/>
        <v>S</v>
      </c>
      <c r="D280" s="29" t="str">
        <f t="shared" si="18"/>
        <v>B</v>
      </c>
      <c r="E280" s="29" t="str">
        <f t="shared" si="19"/>
        <v>H</v>
      </c>
      <c r="F280" s="1" t="s">
        <v>1951</v>
      </c>
      <c r="G280" s="1" t="s">
        <v>486</v>
      </c>
      <c r="H280" s="1" t="s">
        <v>45</v>
      </c>
      <c r="I280" s="1" t="s">
        <v>19</v>
      </c>
      <c r="J280" s="1" t="s">
        <v>39</v>
      </c>
      <c r="K280" s="1" t="s">
        <v>998</v>
      </c>
      <c r="L280" s="1" t="s">
        <v>999</v>
      </c>
      <c r="M280" s="1" t="s">
        <v>22</v>
      </c>
      <c r="N280" s="1" t="s">
        <v>1886</v>
      </c>
      <c r="O280" s="1" t="s">
        <v>129</v>
      </c>
      <c r="P280" s="1" t="s">
        <v>613</v>
      </c>
      <c r="Q280" s="1" t="s">
        <v>1000</v>
      </c>
      <c r="R280" s="1" t="s">
        <v>1001</v>
      </c>
      <c r="S280" s="75">
        <v>45261</v>
      </c>
      <c r="T280" s="1">
        <v>0</v>
      </c>
      <c r="U280" s="1"/>
      <c r="V280" s="1" t="s">
        <v>36</v>
      </c>
      <c r="W280" s="1"/>
      <c r="X280" s="1"/>
      <c r="Y280" s="1"/>
      <c r="Z280" s="1" t="s">
        <v>1836</v>
      </c>
      <c r="AA280" s="75">
        <v>45275</v>
      </c>
      <c r="AB280" s="75">
        <v>45275</v>
      </c>
      <c r="AC280" s="88">
        <v>480000</v>
      </c>
      <c r="AD280" s="88">
        <v>15700000</v>
      </c>
    </row>
    <row r="281" spans="1:30" ht="17.399999999999999" customHeight="1" x14ac:dyDescent="0.4">
      <c r="A281" s="29">
        <v>278</v>
      </c>
      <c r="B281" s="29" t="str">
        <f t="shared" si="16"/>
        <v>280</v>
      </c>
      <c r="C281" s="29" t="str">
        <f t="shared" si="17"/>
        <v>C</v>
      </c>
      <c r="D281" s="29" t="str">
        <f t="shared" si="18"/>
        <v>O</v>
      </c>
      <c r="E281" s="29" t="str">
        <f t="shared" si="19"/>
        <v>F</v>
      </c>
      <c r="F281" s="1" t="s">
        <v>1002</v>
      </c>
      <c r="G281" s="1" t="s">
        <v>429</v>
      </c>
      <c r="H281" s="1" t="s">
        <v>1695</v>
      </c>
      <c r="I281" s="1" t="s">
        <v>19</v>
      </c>
      <c r="J281" s="1" t="s">
        <v>428</v>
      </c>
      <c r="K281" s="1" t="s">
        <v>429</v>
      </c>
      <c r="L281" s="1" t="s">
        <v>1003</v>
      </c>
      <c r="M281" s="1" t="s">
        <v>22</v>
      </c>
      <c r="N281" s="1" t="s">
        <v>118</v>
      </c>
      <c r="O281" s="1" t="s">
        <v>317</v>
      </c>
      <c r="P281" s="1" t="s">
        <v>24</v>
      </c>
      <c r="Q281" s="1" t="s">
        <v>1004</v>
      </c>
      <c r="R281" s="1" t="s">
        <v>1005</v>
      </c>
      <c r="S281" s="75">
        <v>41000</v>
      </c>
      <c r="T281" s="1">
        <v>8135</v>
      </c>
      <c r="U281" s="1" t="s">
        <v>1006</v>
      </c>
      <c r="V281" s="1" t="s">
        <v>27</v>
      </c>
      <c r="W281" s="1" t="s">
        <v>1830</v>
      </c>
      <c r="X281" s="1" t="s">
        <v>1836</v>
      </c>
      <c r="Y281" s="1" t="s">
        <v>1853</v>
      </c>
      <c r="Z281" s="1" t="s">
        <v>1836</v>
      </c>
      <c r="AA281" s="75">
        <v>45292</v>
      </c>
      <c r="AB281" s="75">
        <v>45674</v>
      </c>
      <c r="AC281" s="88">
        <v>900000</v>
      </c>
      <c r="AD281" s="88">
        <v>7500000</v>
      </c>
    </row>
    <row r="282" spans="1:30" ht="17.399999999999999" customHeight="1" x14ac:dyDescent="0.4">
      <c r="A282" s="29">
        <v>279</v>
      </c>
      <c r="B282" s="29" t="str">
        <f t="shared" si="16"/>
        <v>281</v>
      </c>
      <c r="C282" s="29" t="str">
        <f t="shared" si="17"/>
        <v>C</v>
      </c>
      <c r="D282" s="29" t="str">
        <f t="shared" si="18"/>
        <v>O</v>
      </c>
      <c r="E282" s="29" t="str">
        <f t="shared" si="19"/>
        <v>F</v>
      </c>
      <c r="F282" s="1" t="s">
        <v>1007</v>
      </c>
      <c r="G282" s="1" t="s">
        <v>1008</v>
      </c>
      <c r="H282" s="1" t="s">
        <v>359</v>
      </c>
      <c r="I282" s="1" t="s">
        <v>19</v>
      </c>
      <c r="J282" s="1" t="s">
        <v>414</v>
      </c>
      <c r="K282" s="1" t="s">
        <v>1368</v>
      </c>
      <c r="L282" s="1" t="s">
        <v>1009</v>
      </c>
      <c r="M282" s="1" t="s">
        <v>22</v>
      </c>
      <c r="N282" s="1" t="s">
        <v>118</v>
      </c>
      <c r="O282" s="1" t="s">
        <v>23</v>
      </c>
      <c r="P282" s="1" t="s">
        <v>24</v>
      </c>
      <c r="Q282" s="1" t="s">
        <v>1010</v>
      </c>
      <c r="R282" s="1" t="s">
        <v>1011</v>
      </c>
      <c r="S282" s="75">
        <v>40603</v>
      </c>
      <c r="T282" s="1">
        <v>0</v>
      </c>
      <c r="U282" s="1" t="s">
        <v>1012</v>
      </c>
      <c r="V282" s="1" t="s">
        <v>36</v>
      </c>
      <c r="W282" s="1"/>
      <c r="X282" s="1"/>
      <c r="Y282" s="1"/>
      <c r="Z282" s="1" t="s">
        <v>1836</v>
      </c>
      <c r="AA282" s="75">
        <v>45292</v>
      </c>
      <c r="AB282" s="75">
        <v>45355</v>
      </c>
      <c r="AC282" s="88">
        <v>670000</v>
      </c>
      <c r="AD282" s="88">
        <v>19433000</v>
      </c>
    </row>
    <row r="283" spans="1:30" ht="17.399999999999999" customHeight="1" x14ac:dyDescent="0.4">
      <c r="A283" s="29">
        <v>280</v>
      </c>
      <c r="B283" s="29" t="str">
        <f t="shared" si="16"/>
        <v>282</v>
      </c>
      <c r="C283" s="29" t="str">
        <f t="shared" si="17"/>
        <v>C</v>
      </c>
      <c r="D283" s="29" t="str">
        <f t="shared" si="18"/>
        <v>B</v>
      </c>
      <c r="E283" s="29" t="str">
        <f t="shared" si="19"/>
        <v>F</v>
      </c>
      <c r="F283" s="1" t="s">
        <v>1013</v>
      </c>
      <c r="G283" s="1" t="s">
        <v>392</v>
      </c>
      <c r="H283" s="1" t="s">
        <v>392</v>
      </c>
      <c r="I283" s="1" t="s">
        <v>19</v>
      </c>
      <c r="J283" s="1" t="s">
        <v>1362</v>
      </c>
      <c r="K283" s="1" t="s">
        <v>1014</v>
      </c>
      <c r="L283" s="1" t="s">
        <v>1015</v>
      </c>
      <c r="M283" s="1" t="s">
        <v>22</v>
      </c>
      <c r="N283" s="1" t="s">
        <v>81</v>
      </c>
      <c r="O283" s="1" t="s">
        <v>33</v>
      </c>
      <c r="P283" s="1" t="s">
        <v>24</v>
      </c>
      <c r="Q283" s="1" t="s">
        <v>1016</v>
      </c>
      <c r="R283" s="1" t="s">
        <v>1017</v>
      </c>
      <c r="S283" s="75">
        <v>35796</v>
      </c>
      <c r="T283" s="1">
        <v>17852</v>
      </c>
      <c r="U283" s="1"/>
      <c r="V283" s="1" t="s">
        <v>36</v>
      </c>
      <c r="W283" s="1"/>
      <c r="X283" s="1"/>
      <c r="Y283" s="1"/>
      <c r="Z283" s="1" t="s">
        <v>1836</v>
      </c>
      <c r="AA283" s="75">
        <v>45292</v>
      </c>
      <c r="AB283" s="75">
        <v>45689</v>
      </c>
      <c r="AC283" s="88">
        <v>400000</v>
      </c>
      <c r="AD283" s="88">
        <v>1300000</v>
      </c>
    </row>
    <row r="284" spans="1:30" ht="17.399999999999999" customHeight="1" x14ac:dyDescent="0.4">
      <c r="A284" s="29">
        <v>281</v>
      </c>
      <c r="B284" s="29" t="str">
        <f t="shared" si="16"/>
        <v>283</v>
      </c>
      <c r="C284" s="29" t="str">
        <f t="shared" si="17"/>
        <v>C</v>
      </c>
      <c r="D284" s="29" t="str">
        <f t="shared" si="18"/>
        <v>B</v>
      </c>
      <c r="E284" s="29" t="str">
        <f t="shared" si="19"/>
        <v>F</v>
      </c>
      <c r="F284" s="1" t="s">
        <v>1018</v>
      </c>
      <c r="G284" s="1" t="s">
        <v>1844</v>
      </c>
      <c r="H284" s="1" t="s">
        <v>1844</v>
      </c>
      <c r="I284" s="1" t="s">
        <v>19</v>
      </c>
      <c r="J284" s="1" t="s">
        <v>31</v>
      </c>
      <c r="K284" s="1" t="s">
        <v>1019</v>
      </c>
      <c r="L284" s="1" t="s">
        <v>1020</v>
      </c>
      <c r="M284" s="1" t="s">
        <v>22</v>
      </c>
      <c r="N284" s="1" t="s">
        <v>81</v>
      </c>
      <c r="O284" s="1" t="s">
        <v>33</v>
      </c>
      <c r="P284" s="1" t="s">
        <v>24</v>
      </c>
      <c r="Q284" s="1" t="s">
        <v>724</v>
      </c>
      <c r="R284" s="1" t="s">
        <v>1021</v>
      </c>
      <c r="S284" s="75">
        <v>39083</v>
      </c>
      <c r="T284" s="1">
        <v>8010</v>
      </c>
      <c r="U284" s="1"/>
      <c r="V284" s="1" t="s">
        <v>36</v>
      </c>
      <c r="W284" s="1"/>
      <c r="X284" s="1"/>
      <c r="Y284" s="1"/>
      <c r="Z284" s="1" t="s">
        <v>1836</v>
      </c>
      <c r="AA284" s="75">
        <v>45292</v>
      </c>
      <c r="AB284" s="75">
        <v>45383</v>
      </c>
      <c r="AC284" s="88">
        <v>850000</v>
      </c>
      <c r="AD284" s="88">
        <v>3097000</v>
      </c>
    </row>
    <row r="285" spans="1:30" ht="17.399999999999999" customHeight="1" x14ac:dyDescent="0.4">
      <c r="A285" s="29">
        <v>282</v>
      </c>
      <c r="B285" s="29" t="str">
        <f t="shared" si="16"/>
        <v>284</v>
      </c>
      <c r="C285" s="29" t="str">
        <f t="shared" si="17"/>
        <v>C</v>
      </c>
      <c r="D285" s="29" t="str">
        <f t="shared" si="18"/>
        <v>B</v>
      </c>
      <c r="E285" s="29" t="str">
        <f t="shared" si="19"/>
        <v>F</v>
      </c>
      <c r="F285" s="1" t="s">
        <v>1022</v>
      </c>
      <c r="G285" s="1" t="s">
        <v>1836</v>
      </c>
      <c r="H285" s="1" t="s">
        <v>1693</v>
      </c>
      <c r="I285" s="1" t="s">
        <v>1780</v>
      </c>
      <c r="J285" s="1" t="s">
        <v>31</v>
      </c>
      <c r="K285" s="1" t="s">
        <v>1707</v>
      </c>
      <c r="L285" s="1" t="s">
        <v>1023</v>
      </c>
      <c r="M285" s="1" t="s">
        <v>22</v>
      </c>
      <c r="N285" s="1" t="s">
        <v>81</v>
      </c>
      <c r="O285" s="1" t="s">
        <v>33</v>
      </c>
      <c r="P285" s="1" t="s">
        <v>24</v>
      </c>
      <c r="Q285" s="1" t="s">
        <v>1024</v>
      </c>
      <c r="R285" s="1" t="s">
        <v>1025</v>
      </c>
      <c r="S285" s="75">
        <v>37659</v>
      </c>
      <c r="T285" s="1">
        <v>0</v>
      </c>
      <c r="U285" s="1"/>
      <c r="V285" s="1" t="s">
        <v>36</v>
      </c>
      <c r="W285" s="1"/>
      <c r="X285" s="1"/>
      <c r="Y285" s="1"/>
      <c r="Z285" s="1" t="s">
        <v>1836</v>
      </c>
      <c r="AA285" s="75">
        <v>45292</v>
      </c>
      <c r="AB285" s="75">
        <v>45352</v>
      </c>
      <c r="AC285" s="88">
        <v>0</v>
      </c>
      <c r="AD285" s="88">
        <v>1300000</v>
      </c>
    </row>
    <row r="286" spans="1:30" x14ac:dyDescent="0.4">
      <c r="A286" s="29">
        <v>283</v>
      </c>
      <c r="B286" s="29" t="str">
        <f t="shared" si="16"/>
        <v>285</v>
      </c>
      <c r="C286" s="29" t="str">
        <f t="shared" si="17"/>
        <v>C</v>
      </c>
      <c r="D286" s="29" t="str">
        <f t="shared" si="18"/>
        <v>B</v>
      </c>
      <c r="E286" s="29" t="str">
        <f t="shared" si="19"/>
        <v>F</v>
      </c>
      <c r="F286" s="1" t="s">
        <v>1026</v>
      </c>
      <c r="G286" s="1" t="s">
        <v>1836</v>
      </c>
      <c r="H286" s="1" t="s">
        <v>1693</v>
      </c>
      <c r="I286" s="1" t="s">
        <v>1780</v>
      </c>
      <c r="J286" s="1" t="s">
        <v>31</v>
      </c>
      <c r="K286" s="1" t="s">
        <v>1707</v>
      </c>
      <c r="L286" s="1" t="s">
        <v>1027</v>
      </c>
      <c r="M286" s="1" t="s">
        <v>22</v>
      </c>
      <c r="N286" s="1" t="s">
        <v>118</v>
      </c>
      <c r="O286" s="1" t="s">
        <v>33</v>
      </c>
      <c r="P286" s="1" t="s">
        <v>24</v>
      </c>
      <c r="Q286" s="1" t="s">
        <v>1028</v>
      </c>
      <c r="R286" s="1" t="s">
        <v>1029</v>
      </c>
      <c r="S286" s="75">
        <v>34700</v>
      </c>
      <c r="T286" s="1">
        <v>5521</v>
      </c>
      <c r="U286" s="1"/>
      <c r="V286" s="1" t="s">
        <v>36</v>
      </c>
      <c r="W286" s="1"/>
      <c r="X286" s="1"/>
      <c r="Y286" s="1"/>
      <c r="Z286" s="1" t="s">
        <v>1836</v>
      </c>
      <c r="AA286" s="75">
        <v>45292</v>
      </c>
      <c r="AB286" s="75">
        <v>45505</v>
      </c>
      <c r="AC286" s="88">
        <v>0</v>
      </c>
      <c r="AD286" s="88">
        <v>1300000</v>
      </c>
    </row>
    <row r="287" spans="1:30" ht="17.399999999999999" customHeight="1" x14ac:dyDescent="0.4">
      <c r="A287" s="29">
        <v>284</v>
      </c>
      <c r="B287" s="29" t="str">
        <f t="shared" si="16"/>
        <v>286</v>
      </c>
      <c r="C287" s="29" t="str">
        <f t="shared" si="17"/>
        <v>C</v>
      </c>
      <c r="D287" s="29" t="str">
        <f t="shared" si="18"/>
        <v>B</v>
      </c>
      <c r="E287" s="29" t="str">
        <f t="shared" si="19"/>
        <v>F</v>
      </c>
      <c r="F287" s="1" t="s">
        <v>1030</v>
      </c>
      <c r="G287" s="1" t="s">
        <v>1782</v>
      </c>
      <c r="H287" s="1" t="s">
        <v>359</v>
      </c>
      <c r="I287" s="1" t="s">
        <v>19</v>
      </c>
      <c r="J287" s="1" t="s">
        <v>1362</v>
      </c>
      <c r="K287" s="1" t="s">
        <v>1784</v>
      </c>
      <c r="L287" s="1" t="s">
        <v>1785</v>
      </c>
      <c r="M287" s="1" t="s">
        <v>22</v>
      </c>
      <c r="N287" s="1" t="s">
        <v>81</v>
      </c>
      <c r="O287" s="1" t="s">
        <v>33</v>
      </c>
      <c r="P287" s="1" t="s">
        <v>24</v>
      </c>
      <c r="Q287" s="1" t="s">
        <v>1031</v>
      </c>
      <c r="R287" s="1" t="s">
        <v>1786</v>
      </c>
      <c r="S287" s="75">
        <v>37987</v>
      </c>
      <c r="T287" s="1">
        <v>25536</v>
      </c>
      <c r="U287" s="1"/>
      <c r="V287" s="1" t="s">
        <v>27</v>
      </c>
      <c r="W287" s="1" t="s">
        <v>1830</v>
      </c>
      <c r="X287" s="1" t="s">
        <v>1836</v>
      </c>
      <c r="Y287" s="1" t="s">
        <v>2044</v>
      </c>
      <c r="Z287" s="1" t="s">
        <v>1836</v>
      </c>
      <c r="AA287" s="75">
        <v>45292</v>
      </c>
      <c r="AB287" s="75">
        <v>45955</v>
      </c>
      <c r="AC287" s="88">
        <v>600000</v>
      </c>
      <c r="AD287" s="88">
        <v>1300000</v>
      </c>
    </row>
    <row r="288" spans="1:30" ht="17.399999999999999" customHeight="1" x14ac:dyDescent="0.4">
      <c r="A288" s="29">
        <v>285</v>
      </c>
      <c r="B288" s="29" t="str">
        <f t="shared" si="16"/>
        <v>287</v>
      </c>
      <c r="C288" s="29" t="str">
        <f t="shared" si="17"/>
        <v>C</v>
      </c>
      <c r="D288" s="29" t="str">
        <f t="shared" si="18"/>
        <v>B</v>
      </c>
      <c r="E288" s="29" t="str">
        <f t="shared" si="19"/>
        <v>F</v>
      </c>
      <c r="F288" s="1" t="s">
        <v>1032</v>
      </c>
      <c r="G288" s="1" t="s">
        <v>121</v>
      </c>
      <c r="H288" s="1" t="s">
        <v>121</v>
      </c>
      <c r="I288" s="1" t="s">
        <v>19</v>
      </c>
      <c r="J288" s="1" t="s">
        <v>31</v>
      </c>
      <c r="K288" s="1" t="s">
        <v>1033</v>
      </c>
      <c r="L288" s="1" t="s">
        <v>1034</v>
      </c>
      <c r="M288" s="1" t="s">
        <v>22</v>
      </c>
      <c r="N288" s="1" t="s">
        <v>81</v>
      </c>
      <c r="O288" s="1" t="s">
        <v>33</v>
      </c>
      <c r="P288" s="1" t="s">
        <v>24</v>
      </c>
      <c r="Q288" s="1" t="s">
        <v>1031</v>
      </c>
      <c r="R288" s="1" t="s">
        <v>1035</v>
      </c>
      <c r="S288" s="75">
        <v>35796</v>
      </c>
      <c r="T288" s="1">
        <v>12222</v>
      </c>
      <c r="U288" s="1"/>
      <c r="V288" s="1" t="s">
        <v>36</v>
      </c>
      <c r="W288" s="1"/>
      <c r="X288" s="1"/>
      <c r="Y288" s="1"/>
      <c r="Z288" s="1" t="s">
        <v>1836</v>
      </c>
      <c r="AA288" s="75">
        <v>45292</v>
      </c>
      <c r="AB288" s="75">
        <v>45689</v>
      </c>
      <c r="AC288" s="88">
        <v>350000</v>
      </c>
      <c r="AD288" s="88">
        <v>1300000</v>
      </c>
    </row>
    <row r="289" spans="1:30" ht="17.399999999999999" customHeight="1" x14ac:dyDescent="0.4">
      <c r="A289" s="29">
        <v>286</v>
      </c>
      <c r="B289" s="29" t="str">
        <f t="shared" si="16"/>
        <v>288</v>
      </c>
      <c r="C289" s="29" t="str">
        <f t="shared" si="17"/>
        <v>C</v>
      </c>
      <c r="D289" s="29" t="str">
        <f t="shared" si="18"/>
        <v>O</v>
      </c>
      <c r="E289" s="29" t="str">
        <f t="shared" si="19"/>
        <v>F</v>
      </c>
      <c r="F289" s="1" t="s">
        <v>1036</v>
      </c>
      <c r="G289" s="1" t="s">
        <v>1037</v>
      </c>
      <c r="H289" s="1" t="s">
        <v>1037</v>
      </c>
      <c r="I289" s="1" t="s">
        <v>19</v>
      </c>
      <c r="J289" s="1" t="s">
        <v>1362</v>
      </c>
      <c r="K289" s="1" t="s">
        <v>1038</v>
      </c>
      <c r="L289" s="1" t="s">
        <v>1039</v>
      </c>
      <c r="M289" s="1" t="s">
        <v>22</v>
      </c>
      <c r="N289" s="1" t="s">
        <v>118</v>
      </c>
      <c r="O289" s="1" t="s">
        <v>33</v>
      </c>
      <c r="P289" s="1" t="s">
        <v>24</v>
      </c>
      <c r="Q289" s="1" t="s">
        <v>326</v>
      </c>
      <c r="R289" s="1" t="s">
        <v>1040</v>
      </c>
      <c r="S289" s="75">
        <v>43344</v>
      </c>
      <c r="T289" s="1">
        <v>0</v>
      </c>
      <c r="U289" s="1" t="s">
        <v>1041</v>
      </c>
      <c r="V289" s="1" t="s">
        <v>36</v>
      </c>
      <c r="W289" s="1"/>
      <c r="X289" s="1"/>
      <c r="Y289" s="1"/>
      <c r="Z289" s="1" t="s">
        <v>1836</v>
      </c>
      <c r="AA289" s="75">
        <v>45292</v>
      </c>
      <c r="AB289" s="75">
        <v>45292</v>
      </c>
      <c r="AC289" s="88">
        <v>750000</v>
      </c>
      <c r="AD289" s="88">
        <v>5000000</v>
      </c>
    </row>
    <row r="290" spans="1:30" ht="17.399999999999999" customHeight="1" x14ac:dyDescent="0.4">
      <c r="A290" s="29">
        <v>287</v>
      </c>
      <c r="B290" s="29" t="str">
        <f t="shared" si="16"/>
        <v>289</v>
      </c>
      <c r="C290" s="29" t="str">
        <f t="shared" si="17"/>
        <v>C</v>
      </c>
      <c r="D290" s="29" t="str">
        <f t="shared" si="18"/>
        <v>O</v>
      </c>
      <c r="E290" s="29" t="str">
        <f t="shared" si="19"/>
        <v>F</v>
      </c>
      <c r="F290" s="1" t="s">
        <v>1042</v>
      </c>
      <c r="G290" s="1" t="s">
        <v>1037</v>
      </c>
      <c r="H290" s="1" t="s">
        <v>1037</v>
      </c>
      <c r="I290" s="1" t="s">
        <v>19</v>
      </c>
      <c r="J290" s="1" t="s">
        <v>1362</v>
      </c>
      <c r="K290" s="1" t="s">
        <v>1038</v>
      </c>
      <c r="L290" s="1" t="s">
        <v>1043</v>
      </c>
      <c r="M290" s="1" t="s">
        <v>22</v>
      </c>
      <c r="N290" s="1" t="s">
        <v>118</v>
      </c>
      <c r="O290" s="1" t="s">
        <v>33</v>
      </c>
      <c r="P290" s="1" t="s">
        <v>24</v>
      </c>
      <c r="Q290" s="1" t="s">
        <v>1044</v>
      </c>
      <c r="R290" s="1" t="s">
        <v>1045</v>
      </c>
      <c r="S290" s="75">
        <v>45139</v>
      </c>
      <c r="T290" s="1">
        <v>0</v>
      </c>
      <c r="U290" s="1" t="s">
        <v>1046</v>
      </c>
      <c r="V290" s="1" t="s">
        <v>36</v>
      </c>
      <c r="W290" s="1"/>
      <c r="X290" s="1"/>
      <c r="Y290" s="1"/>
      <c r="Z290" s="1" t="s">
        <v>1836</v>
      </c>
      <c r="AA290" s="75">
        <v>45292</v>
      </c>
      <c r="AB290" s="75">
        <v>45292</v>
      </c>
      <c r="AC290" s="88">
        <v>750000</v>
      </c>
      <c r="AD290" s="88">
        <v>33000000</v>
      </c>
    </row>
    <row r="291" spans="1:30" ht="17.399999999999999" customHeight="1" x14ac:dyDescent="0.4">
      <c r="A291" s="29">
        <v>288</v>
      </c>
      <c r="B291" s="29" t="str">
        <f t="shared" si="16"/>
        <v>290</v>
      </c>
      <c r="C291" s="29" t="str">
        <f t="shared" si="17"/>
        <v>C</v>
      </c>
      <c r="D291" s="29" t="str">
        <f t="shared" si="18"/>
        <v>O</v>
      </c>
      <c r="E291" s="29" t="str">
        <f t="shared" si="19"/>
        <v>F</v>
      </c>
      <c r="F291" s="1" t="s">
        <v>1047</v>
      </c>
      <c r="G291" s="1" t="s">
        <v>1037</v>
      </c>
      <c r="H291" s="1" t="s">
        <v>1037</v>
      </c>
      <c r="I291" s="1" t="s">
        <v>19</v>
      </c>
      <c r="J291" s="1" t="s">
        <v>1362</v>
      </c>
      <c r="K291" s="1" t="s">
        <v>1048</v>
      </c>
      <c r="L291" s="1" t="s">
        <v>1049</v>
      </c>
      <c r="M291" s="1" t="s">
        <v>22</v>
      </c>
      <c r="N291" s="1" t="s">
        <v>118</v>
      </c>
      <c r="O291" s="1" t="s">
        <v>33</v>
      </c>
      <c r="P291" s="1" t="s">
        <v>24</v>
      </c>
      <c r="Q291" s="1" t="s">
        <v>1050</v>
      </c>
      <c r="R291" s="1" t="s">
        <v>1051</v>
      </c>
      <c r="S291" s="75">
        <v>41671</v>
      </c>
      <c r="T291" s="1">
        <v>0</v>
      </c>
      <c r="U291" s="1" t="s">
        <v>1052</v>
      </c>
      <c r="V291" s="1" t="s">
        <v>36</v>
      </c>
      <c r="W291" s="1"/>
      <c r="X291" s="1"/>
      <c r="Y291" s="1"/>
      <c r="Z291" s="1" t="s">
        <v>1836</v>
      </c>
      <c r="AA291" s="75">
        <v>45292</v>
      </c>
      <c r="AB291" s="75">
        <v>45292</v>
      </c>
      <c r="AC291" s="88">
        <v>750000</v>
      </c>
      <c r="AD291" s="88">
        <v>5000000</v>
      </c>
    </row>
    <row r="292" spans="1:30" ht="17.399999999999999" customHeight="1" x14ac:dyDescent="0.4">
      <c r="A292" s="29">
        <v>289</v>
      </c>
      <c r="B292" s="29" t="str">
        <f t="shared" si="16"/>
        <v>291</v>
      </c>
      <c r="C292" s="29" t="str">
        <f t="shared" si="17"/>
        <v>C</v>
      </c>
      <c r="D292" s="29" t="str">
        <f t="shared" si="18"/>
        <v>O</v>
      </c>
      <c r="E292" s="29" t="str">
        <f t="shared" si="19"/>
        <v>F</v>
      </c>
      <c r="F292" s="1" t="s">
        <v>1053</v>
      </c>
      <c r="G292" s="1" t="s">
        <v>1037</v>
      </c>
      <c r="H292" s="1" t="s">
        <v>1037</v>
      </c>
      <c r="I292" s="1" t="s">
        <v>19</v>
      </c>
      <c r="J292" s="1" t="s">
        <v>1362</v>
      </c>
      <c r="K292" s="1" t="s">
        <v>1038</v>
      </c>
      <c r="L292" s="1" t="s">
        <v>1054</v>
      </c>
      <c r="M292" s="1" t="s">
        <v>22</v>
      </c>
      <c r="N292" s="1" t="s">
        <v>118</v>
      </c>
      <c r="O292" s="1" t="s">
        <v>33</v>
      </c>
      <c r="P292" s="1" t="s">
        <v>24</v>
      </c>
      <c r="Q292" s="1" t="s">
        <v>326</v>
      </c>
      <c r="R292" s="1" t="s">
        <v>1055</v>
      </c>
      <c r="S292" s="75">
        <v>43191</v>
      </c>
      <c r="T292" s="1">
        <v>0</v>
      </c>
      <c r="U292" s="1" t="s">
        <v>1056</v>
      </c>
      <c r="V292" s="1" t="s">
        <v>36</v>
      </c>
      <c r="W292" s="1"/>
      <c r="X292" s="1"/>
      <c r="Y292" s="1"/>
      <c r="Z292" s="1" t="s">
        <v>1836</v>
      </c>
      <c r="AA292" s="75">
        <v>45292</v>
      </c>
      <c r="AB292" s="75">
        <v>45292</v>
      </c>
      <c r="AC292" s="88">
        <v>750000</v>
      </c>
      <c r="AD292" s="88">
        <v>5000000</v>
      </c>
    </row>
    <row r="293" spans="1:30" ht="17.399999999999999" customHeight="1" x14ac:dyDescent="0.4">
      <c r="A293" s="29">
        <v>290</v>
      </c>
      <c r="B293" s="29" t="str">
        <f t="shared" si="16"/>
        <v>292</v>
      </c>
      <c r="C293" s="29" t="str">
        <f t="shared" si="17"/>
        <v>C</v>
      </c>
      <c r="D293" s="29" t="str">
        <f t="shared" si="18"/>
        <v>O</v>
      </c>
      <c r="E293" s="29" t="str">
        <f t="shared" si="19"/>
        <v>F</v>
      </c>
      <c r="F293" s="1" t="s">
        <v>1057</v>
      </c>
      <c r="G293" s="1" t="s">
        <v>1037</v>
      </c>
      <c r="H293" s="1" t="s">
        <v>1037</v>
      </c>
      <c r="I293" s="1" t="s">
        <v>19</v>
      </c>
      <c r="J293" s="1" t="s">
        <v>1362</v>
      </c>
      <c r="K293" s="1" t="s">
        <v>1058</v>
      </c>
      <c r="L293" s="1" t="s">
        <v>1059</v>
      </c>
      <c r="M293" s="1" t="s">
        <v>22</v>
      </c>
      <c r="N293" s="1" t="s">
        <v>118</v>
      </c>
      <c r="O293" s="1" t="s">
        <v>33</v>
      </c>
      <c r="P293" s="1" t="s">
        <v>24</v>
      </c>
      <c r="Q293" s="1" t="s">
        <v>1044</v>
      </c>
      <c r="R293" s="1" t="s">
        <v>1060</v>
      </c>
      <c r="S293" s="75">
        <v>44593</v>
      </c>
      <c r="T293" s="1">
        <v>0</v>
      </c>
      <c r="U293" s="1" t="s">
        <v>1061</v>
      </c>
      <c r="V293" s="1" t="s">
        <v>36</v>
      </c>
      <c r="W293" s="1"/>
      <c r="X293" s="1"/>
      <c r="Y293" s="1"/>
      <c r="Z293" s="1" t="s">
        <v>1836</v>
      </c>
      <c r="AA293" s="75">
        <v>45292</v>
      </c>
      <c r="AB293" s="75">
        <v>45292</v>
      </c>
      <c r="AC293" s="88">
        <v>750000</v>
      </c>
      <c r="AD293" s="88">
        <v>22970000</v>
      </c>
    </row>
    <row r="294" spans="1:30" ht="17.399999999999999" customHeight="1" x14ac:dyDescent="0.4">
      <c r="A294" s="29">
        <v>291</v>
      </c>
      <c r="B294" s="29" t="str">
        <f t="shared" si="16"/>
        <v>293</v>
      </c>
      <c r="C294" s="29" t="str">
        <f t="shared" si="17"/>
        <v>C</v>
      </c>
      <c r="D294" s="29" t="str">
        <f t="shared" si="18"/>
        <v>O</v>
      </c>
      <c r="E294" s="29" t="str">
        <f t="shared" si="19"/>
        <v>F</v>
      </c>
      <c r="F294" s="1" t="s">
        <v>1062</v>
      </c>
      <c r="G294" s="1" t="s">
        <v>1037</v>
      </c>
      <c r="H294" s="1" t="s">
        <v>1037</v>
      </c>
      <c r="I294" s="1" t="s">
        <v>19</v>
      </c>
      <c r="J294" s="1" t="s">
        <v>1362</v>
      </c>
      <c r="K294" s="1" t="s">
        <v>1063</v>
      </c>
      <c r="L294" s="1" t="s">
        <v>1064</v>
      </c>
      <c r="M294" s="1" t="s">
        <v>22</v>
      </c>
      <c r="N294" s="1" t="s">
        <v>118</v>
      </c>
      <c r="O294" s="1" t="s">
        <v>33</v>
      </c>
      <c r="P294" s="1" t="s">
        <v>24</v>
      </c>
      <c r="Q294" s="1" t="s">
        <v>1050</v>
      </c>
      <c r="R294" s="1" t="s">
        <v>1065</v>
      </c>
      <c r="S294" s="75">
        <v>41671</v>
      </c>
      <c r="T294" s="1">
        <v>0</v>
      </c>
      <c r="U294" s="1" t="s">
        <v>1066</v>
      </c>
      <c r="V294" s="1" t="s">
        <v>36</v>
      </c>
      <c r="W294" s="1"/>
      <c r="X294" s="1"/>
      <c r="Y294" s="1"/>
      <c r="Z294" s="1" t="s">
        <v>1836</v>
      </c>
      <c r="AA294" s="75">
        <v>45292</v>
      </c>
      <c r="AB294" s="75">
        <v>45292</v>
      </c>
      <c r="AC294" s="88">
        <v>800000</v>
      </c>
      <c r="AD294" s="88">
        <v>10101000</v>
      </c>
    </row>
    <row r="295" spans="1:30" x14ac:dyDescent="0.4">
      <c r="A295" s="29">
        <v>292</v>
      </c>
      <c r="B295" s="29" t="str">
        <f t="shared" si="16"/>
        <v>294</v>
      </c>
      <c r="C295" s="29" t="str">
        <f t="shared" si="17"/>
        <v>C</v>
      </c>
      <c r="D295" s="29" t="str">
        <f t="shared" si="18"/>
        <v>B</v>
      </c>
      <c r="E295" s="29" t="str">
        <f t="shared" si="19"/>
        <v>F</v>
      </c>
      <c r="F295" s="1" t="s">
        <v>1067</v>
      </c>
      <c r="G295" s="1" t="s">
        <v>486</v>
      </c>
      <c r="H295" s="1" t="s">
        <v>45</v>
      </c>
      <c r="I295" s="1" t="s">
        <v>19</v>
      </c>
      <c r="J295" s="1" t="s">
        <v>39</v>
      </c>
      <c r="K295" s="1" t="s">
        <v>486</v>
      </c>
      <c r="L295" s="1" t="s">
        <v>1068</v>
      </c>
      <c r="M295" s="1" t="s">
        <v>22</v>
      </c>
      <c r="N295" s="1" t="s">
        <v>118</v>
      </c>
      <c r="O295" s="1" t="s">
        <v>23</v>
      </c>
      <c r="P295" s="1" t="s">
        <v>24</v>
      </c>
      <c r="Q295" s="1" t="s">
        <v>1069</v>
      </c>
      <c r="R295" s="1" t="s">
        <v>1070</v>
      </c>
      <c r="S295" s="75">
        <v>45321</v>
      </c>
      <c r="T295" s="1">
        <v>0</v>
      </c>
      <c r="U295" s="1"/>
      <c r="V295" s="1" t="s">
        <v>27</v>
      </c>
      <c r="W295" s="1" t="s">
        <v>1830</v>
      </c>
      <c r="X295" s="1" t="s">
        <v>1836</v>
      </c>
      <c r="Y295" s="1" t="s">
        <v>1859</v>
      </c>
      <c r="Z295" s="1" t="s">
        <v>1836</v>
      </c>
      <c r="AA295" s="75">
        <v>45323</v>
      </c>
      <c r="AB295" s="75">
        <v>45323</v>
      </c>
      <c r="AC295" s="88">
        <v>1000000</v>
      </c>
      <c r="AD295" s="88">
        <v>37160000</v>
      </c>
    </row>
    <row r="296" spans="1:30" ht="17.399999999999999" customHeight="1" x14ac:dyDescent="0.4">
      <c r="A296" s="29">
        <v>293</v>
      </c>
      <c r="B296" s="29" t="str">
        <f t="shared" si="16"/>
        <v>295</v>
      </c>
      <c r="C296" s="29" t="str">
        <f t="shared" si="17"/>
        <v>T</v>
      </c>
      <c r="D296" s="29" t="str">
        <f t="shared" si="18"/>
        <v>B</v>
      </c>
      <c r="E296" s="29" t="str">
        <f t="shared" si="19"/>
        <v>F</v>
      </c>
      <c r="F296" s="1" t="s">
        <v>1952</v>
      </c>
      <c r="G296" s="1" t="s">
        <v>388</v>
      </c>
      <c r="H296" s="1" t="s">
        <v>1694</v>
      </c>
      <c r="I296" s="1" t="s">
        <v>19</v>
      </c>
      <c r="J296" s="1" t="s">
        <v>31</v>
      </c>
      <c r="K296" s="1" t="s">
        <v>388</v>
      </c>
      <c r="L296" s="1" t="s">
        <v>1071</v>
      </c>
      <c r="M296" s="1" t="s">
        <v>22</v>
      </c>
      <c r="N296" s="1" t="s">
        <v>81</v>
      </c>
      <c r="O296" s="1" t="s">
        <v>129</v>
      </c>
      <c r="P296" s="1" t="s">
        <v>124</v>
      </c>
      <c r="Q296" s="1" t="s">
        <v>1072</v>
      </c>
      <c r="R296" s="1" t="s">
        <v>1073</v>
      </c>
      <c r="S296" s="75">
        <v>43191</v>
      </c>
      <c r="T296" s="1">
        <v>3200</v>
      </c>
      <c r="U296" s="1"/>
      <c r="V296" s="1" t="s">
        <v>27</v>
      </c>
      <c r="W296" s="1" t="s">
        <v>1830</v>
      </c>
      <c r="X296" s="1" t="s">
        <v>1836</v>
      </c>
      <c r="Y296" s="1" t="s">
        <v>388</v>
      </c>
      <c r="Z296" s="1" t="s">
        <v>1836</v>
      </c>
      <c r="AA296" s="75">
        <v>45330</v>
      </c>
      <c r="AB296" s="75">
        <v>45330</v>
      </c>
      <c r="AC296" s="88">
        <v>700000</v>
      </c>
      <c r="AD296" s="88">
        <v>9800000</v>
      </c>
    </row>
    <row r="297" spans="1:30" ht="17.399999999999999" customHeight="1" x14ac:dyDescent="0.4">
      <c r="A297" s="29">
        <v>294</v>
      </c>
      <c r="B297" s="29" t="str">
        <f t="shared" si="16"/>
        <v>296</v>
      </c>
      <c r="C297" s="29" t="str">
        <f t="shared" si="17"/>
        <v>C</v>
      </c>
      <c r="D297" s="29" t="str">
        <f t="shared" si="18"/>
        <v>B</v>
      </c>
      <c r="E297" s="29" t="str">
        <f t="shared" si="19"/>
        <v>F</v>
      </c>
      <c r="F297" s="1" t="s">
        <v>1953</v>
      </c>
      <c r="G297" s="1" t="s">
        <v>1037</v>
      </c>
      <c r="H297" s="1" t="s">
        <v>1037</v>
      </c>
      <c r="I297" s="1" t="s">
        <v>19</v>
      </c>
      <c r="J297" s="1" t="s">
        <v>1362</v>
      </c>
      <c r="K297" s="1" t="s">
        <v>1074</v>
      </c>
      <c r="L297" s="1" t="s">
        <v>1075</v>
      </c>
      <c r="M297" s="1" t="s">
        <v>22</v>
      </c>
      <c r="N297" s="1" t="s">
        <v>81</v>
      </c>
      <c r="O297" s="1" t="s">
        <v>33</v>
      </c>
      <c r="P297" s="1" t="s">
        <v>24</v>
      </c>
      <c r="Q297" s="1" t="s">
        <v>1076</v>
      </c>
      <c r="R297" s="1" t="s">
        <v>1077</v>
      </c>
      <c r="S297" s="75">
        <v>45349</v>
      </c>
      <c r="T297" s="1">
        <v>0</v>
      </c>
      <c r="U297" s="1"/>
      <c r="V297" s="1" t="s">
        <v>36</v>
      </c>
      <c r="W297" s="1"/>
      <c r="X297" s="1"/>
      <c r="Y297" s="1"/>
      <c r="Z297" s="1" t="s">
        <v>1836</v>
      </c>
      <c r="AA297" s="75">
        <v>45349</v>
      </c>
      <c r="AB297" s="75">
        <v>45352</v>
      </c>
      <c r="AC297" s="88">
        <v>770000</v>
      </c>
      <c r="AD297" s="88">
        <v>26260000</v>
      </c>
    </row>
    <row r="298" spans="1:30" ht="17.399999999999999" customHeight="1" x14ac:dyDescent="0.4">
      <c r="A298" s="29">
        <v>295</v>
      </c>
      <c r="B298" s="29" t="str">
        <f t="shared" si="16"/>
        <v>297</v>
      </c>
      <c r="C298" s="29" t="str">
        <f t="shared" si="17"/>
        <v>C</v>
      </c>
      <c r="D298" s="29" t="str">
        <f t="shared" si="18"/>
        <v>B</v>
      </c>
      <c r="E298" s="29" t="str">
        <f t="shared" si="19"/>
        <v>F</v>
      </c>
      <c r="F298" s="1" t="s">
        <v>1954</v>
      </c>
      <c r="G298" s="1" t="s">
        <v>1037</v>
      </c>
      <c r="H298" s="1" t="s">
        <v>1037</v>
      </c>
      <c r="I298" s="1" t="s">
        <v>19</v>
      </c>
      <c r="J298" s="1" t="s">
        <v>1362</v>
      </c>
      <c r="K298" s="1" t="s">
        <v>1078</v>
      </c>
      <c r="L298" s="1" t="s">
        <v>1079</v>
      </c>
      <c r="M298" s="1" t="s">
        <v>22</v>
      </c>
      <c r="N298" s="1" t="s">
        <v>81</v>
      </c>
      <c r="O298" s="1" t="s">
        <v>33</v>
      </c>
      <c r="P298" s="1" t="s">
        <v>24</v>
      </c>
      <c r="Q298" s="1" t="s">
        <v>1076</v>
      </c>
      <c r="R298" s="1" t="s">
        <v>1080</v>
      </c>
      <c r="S298" s="75">
        <v>45349</v>
      </c>
      <c r="T298" s="1">
        <v>0</v>
      </c>
      <c r="U298" s="1"/>
      <c r="V298" s="1" t="s">
        <v>36</v>
      </c>
      <c r="W298" s="1"/>
      <c r="X298" s="1"/>
      <c r="Y298" s="1"/>
      <c r="Z298" s="1" t="s">
        <v>1836</v>
      </c>
      <c r="AA298" s="75">
        <v>45349</v>
      </c>
      <c r="AB298" s="75">
        <v>45352</v>
      </c>
      <c r="AC298" s="88">
        <v>770000</v>
      </c>
      <c r="AD298" s="88">
        <v>26260000</v>
      </c>
    </row>
    <row r="299" spans="1:30" ht="17.399999999999999" customHeight="1" x14ac:dyDescent="0.4">
      <c r="A299" s="29">
        <v>296</v>
      </c>
      <c r="B299" s="29" t="str">
        <f t="shared" si="16"/>
        <v>298</v>
      </c>
      <c r="C299" s="29" t="str">
        <f t="shared" si="17"/>
        <v>C</v>
      </c>
      <c r="D299" s="29" t="str">
        <f t="shared" si="18"/>
        <v>B</v>
      </c>
      <c r="E299" s="29" t="str">
        <f t="shared" si="19"/>
        <v>F</v>
      </c>
      <c r="F299" s="1" t="s">
        <v>1955</v>
      </c>
      <c r="G299" s="1" t="s">
        <v>1037</v>
      </c>
      <c r="H299" s="1" t="s">
        <v>1037</v>
      </c>
      <c r="I299" s="1" t="s">
        <v>19</v>
      </c>
      <c r="J299" s="1" t="s">
        <v>1362</v>
      </c>
      <c r="K299" s="1" t="s">
        <v>1081</v>
      </c>
      <c r="L299" s="1" t="s">
        <v>1082</v>
      </c>
      <c r="M299" s="1" t="s">
        <v>22</v>
      </c>
      <c r="N299" s="1" t="s">
        <v>81</v>
      </c>
      <c r="O299" s="1" t="s">
        <v>33</v>
      </c>
      <c r="P299" s="1" t="s">
        <v>24</v>
      </c>
      <c r="Q299" s="1" t="s">
        <v>1076</v>
      </c>
      <c r="R299" s="1" t="s">
        <v>1083</v>
      </c>
      <c r="S299" s="75">
        <v>45349</v>
      </c>
      <c r="T299" s="1">
        <v>0</v>
      </c>
      <c r="U299" s="1"/>
      <c r="V299" s="1" t="s">
        <v>36</v>
      </c>
      <c r="W299" s="1"/>
      <c r="X299" s="1"/>
      <c r="Y299" s="1"/>
      <c r="Z299" s="1" t="s">
        <v>1836</v>
      </c>
      <c r="AA299" s="75">
        <v>45349</v>
      </c>
      <c r="AB299" s="75">
        <v>45352</v>
      </c>
      <c r="AC299" s="88">
        <v>770000</v>
      </c>
      <c r="AD299" s="88">
        <v>26260000</v>
      </c>
    </row>
    <row r="300" spans="1:30" ht="17.399999999999999" customHeight="1" x14ac:dyDescent="0.4">
      <c r="A300" s="29">
        <v>297</v>
      </c>
      <c r="B300" s="29" t="str">
        <f t="shared" si="16"/>
        <v>299</v>
      </c>
      <c r="C300" s="29" t="str">
        <f t="shared" si="17"/>
        <v>C</v>
      </c>
      <c r="D300" s="29" t="str">
        <f t="shared" si="18"/>
        <v>B</v>
      </c>
      <c r="E300" s="29" t="str">
        <f t="shared" si="19"/>
        <v>F</v>
      </c>
      <c r="F300" s="1" t="s">
        <v>1956</v>
      </c>
      <c r="G300" s="1" t="s">
        <v>1084</v>
      </c>
      <c r="H300" s="1" t="s">
        <v>680</v>
      </c>
      <c r="I300" s="1" t="s">
        <v>19</v>
      </c>
      <c r="J300" s="1" t="s">
        <v>676</v>
      </c>
      <c r="K300" s="1" t="s">
        <v>1085</v>
      </c>
      <c r="L300" s="1" t="s">
        <v>1086</v>
      </c>
      <c r="M300" s="1" t="s">
        <v>22</v>
      </c>
      <c r="N300" s="1" t="s">
        <v>81</v>
      </c>
      <c r="O300" s="1" t="s">
        <v>33</v>
      </c>
      <c r="P300" s="1" t="s">
        <v>24</v>
      </c>
      <c r="Q300" s="1" t="s">
        <v>1076</v>
      </c>
      <c r="R300" s="1" t="s">
        <v>1087</v>
      </c>
      <c r="S300" s="75">
        <v>45349</v>
      </c>
      <c r="T300" s="1">
        <v>0</v>
      </c>
      <c r="U300" s="1"/>
      <c r="V300" s="1" t="s">
        <v>36</v>
      </c>
      <c r="W300" s="1"/>
      <c r="X300" s="1"/>
      <c r="Y300" s="1"/>
      <c r="Z300" s="1" t="s">
        <v>1836</v>
      </c>
      <c r="AA300" s="75">
        <v>45349</v>
      </c>
      <c r="AB300" s="75">
        <v>45352</v>
      </c>
      <c r="AC300" s="88">
        <v>1090000</v>
      </c>
      <c r="AD300" s="88">
        <v>26260000</v>
      </c>
    </row>
    <row r="301" spans="1:30" ht="17.399999999999999" customHeight="1" x14ac:dyDescent="0.4">
      <c r="A301" s="29">
        <v>298</v>
      </c>
      <c r="B301" s="29" t="str">
        <f t="shared" si="16"/>
        <v>300</v>
      </c>
      <c r="C301" s="29" t="str">
        <f t="shared" si="17"/>
        <v>C</v>
      </c>
      <c r="D301" s="29" t="str">
        <f t="shared" si="18"/>
        <v>B</v>
      </c>
      <c r="E301" s="29" t="str">
        <f t="shared" si="19"/>
        <v>F</v>
      </c>
      <c r="F301" s="1" t="s">
        <v>1088</v>
      </c>
      <c r="G301" s="1" t="s">
        <v>1836</v>
      </c>
      <c r="H301" s="1" t="s">
        <v>1693</v>
      </c>
      <c r="I301" s="1" t="s">
        <v>1780</v>
      </c>
      <c r="J301" s="1" t="s">
        <v>31</v>
      </c>
      <c r="K301" s="1" t="s">
        <v>1707</v>
      </c>
      <c r="L301" s="1" t="s">
        <v>1089</v>
      </c>
      <c r="M301" s="1" t="s">
        <v>22</v>
      </c>
      <c r="N301" s="1" t="s">
        <v>81</v>
      </c>
      <c r="O301" s="1" t="s">
        <v>33</v>
      </c>
      <c r="P301" s="1" t="s">
        <v>24</v>
      </c>
      <c r="Q301" s="1" t="s">
        <v>1031</v>
      </c>
      <c r="R301" s="1" t="s">
        <v>1090</v>
      </c>
      <c r="S301" s="75">
        <v>35977</v>
      </c>
      <c r="T301" s="1">
        <v>0</v>
      </c>
      <c r="U301" s="1"/>
      <c r="V301" s="1" t="s">
        <v>36</v>
      </c>
      <c r="W301" s="1"/>
      <c r="X301" s="1"/>
      <c r="Y301" s="1"/>
      <c r="Z301" s="1" t="s">
        <v>1836</v>
      </c>
      <c r="AA301" s="75">
        <v>45352</v>
      </c>
      <c r="AB301" s="75">
        <v>45352</v>
      </c>
      <c r="AC301" s="88">
        <v>0</v>
      </c>
      <c r="AD301" s="88">
        <v>1300000</v>
      </c>
    </row>
    <row r="302" spans="1:30" x14ac:dyDescent="0.4">
      <c r="A302" s="29">
        <v>299</v>
      </c>
      <c r="B302" s="29" t="str">
        <f t="shared" si="16"/>
        <v>301</v>
      </c>
      <c r="C302" s="29" t="str">
        <f t="shared" si="17"/>
        <v>C</v>
      </c>
      <c r="D302" s="29" t="str">
        <f t="shared" si="18"/>
        <v>B</v>
      </c>
      <c r="E302" s="29" t="str">
        <f t="shared" si="19"/>
        <v>F</v>
      </c>
      <c r="F302" s="1" t="s">
        <v>1091</v>
      </c>
      <c r="G302" s="1" t="s">
        <v>400</v>
      </c>
      <c r="H302" s="1" t="s">
        <v>359</v>
      </c>
      <c r="I302" s="1" t="s">
        <v>19</v>
      </c>
      <c r="J302" s="1" t="s">
        <v>31</v>
      </c>
      <c r="K302" s="1" t="s">
        <v>1092</v>
      </c>
      <c r="L302" s="1" t="s">
        <v>1093</v>
      </c>
      <c r="M302" s="1" t="s">
        <v>22</v>
      </c>
      <c r="N302" s="1" t="s">
        <v>118</v>
      </c>
      <c r="O302" s="1" t="s">
        <v>33</v>
      </c>
      <c r="P302" s="1" t="s">
        <v>24</v>
      </c>
      <c r="Q302" s="1" t="s">
        <v>34</v>
      </c>
      <c r="R302" s="1" t="s">
        <v>1094</v>
      </c>
      <c r="S302" s="75">
        <v>45404</v>
      </c>
      <c r="T302" s="1">
        <v>0</v>
      </c>
      <c r="U302" s="1"/>
      <c r="V302" s="1" t="s">
        <v>36</v>
      </c>
      <c r="W302" s="1"/>
      <c r="X302" s="1"/>
      <c r="Y302" s="1"/>
      <c r="Z302" s="1" t="s">
        <v>1836</v>
      </c>
      <c r="AA302" s="75">
        <v>45412</v>
      </c>
      <c r="AB302" s="75">
        <v>45413</v>
      </c>
      <c r="AC302" s="88">
        <v>650000</v>
      </c>
      <c r="AD302" s="88">
        <v>30230000</v>
      </c>
    </row>
    <row r="303" spans="1:30" x14ac:dyDescent="0.4">
      <c r="A303" s="29">
        <v>300</v>
      </c>
      <c r="B303" s="29" t="str">
        <f t="shared" si="16"/>
        <v>302</v>
      </c>
      <c r="C303" s="29" t="str">
        <f t="shared" si="17"/>
        <v>C</v>
      </c>
      <c r="D303" s="29" t="str">
        <f t="shared" si="18"/>
        <v>B</v>
      </c>
      <c r="E303" s="29" t="str">
        <f t="shared" si="19"/>
        <v>F</v>
      </c>
      <c r="F303" s="1" t="s">
        <v>1095</v>
      </c>
      <c r="G303" s="1" t="s">
        <v>400</v>
      </c>
      <c r="H303" s="1" t="s">
        <v>359</v>
      </c>
      <c r="I303" s="1" t="s">
        <v>19</v>
      </c>
      <c r="J303" s="1" t="s">
        <v>31</v>
      </c>
      <c r="K303" s="1" t="s">
        <v>1096</v>
      </c>
      <c r="L303" s="1" t="s">
        <v>1097</v>
      </c>
      <c r="M303" s="1" t="s">
        <v>22</v>
      </c>
      <c r="N303" s="1" t="s">
        <v>118</v>
      </c>
      <c r="O303" s="1" t="s">
        <v>33</v>
      </c>
      <c r="P303" s="1" t="s">
        <v>24</v>
      </c>
      <c r="Q303" s="1" t="s">
        <v>34</v>
      </c>
      <c r="R303" s="1" t="s">
        <v>1098</v>
      </c>
      <c r="S303" s="75">
        <v>45404</v>
      </c>
      <c r="T303" s="1">
        <v>0</v>
      </c>
      <c r="U303" s="1"/>
      <c r="V303" s="1" t="s">
        <v>36</v>
      </c>
      <c r="W303" s="1"/>
      <c r="X303" s="1"/>
      <c r="Y303" s="1"/>
      <c r="Z303" s="1" t="s">
        <v>1836</v>
      </c>
      <c r="AA303" s="75">
        <v>45412</v>
      </c>
      <c r="AB303" s="75">
        <v>45413</v>
      </c>
      <c r="AC303" s="88">
        <v>650000</v>
      </c>
      <c r="AD303" s="88">
        <v>31480000</v>
      </c>
    </row>
    <row r="304" spans="1:30" x14ac:dyDescent="0.4">
      <c r="A304" s="29">
        <v>301</v>
      </c>
      <c r="B304" s="29" t="str">
        <f t="shared" si="16"/>
        <v>303</v>
      </c>
      <c r="C304" s="29" t="str">
        <f t="shared" si="17"/>
        <v>C</v>
      </c>
      <c r="D304" s="29" t="str">
        <f t="shared" si="18"/>
        <v>B</v>
      </c>
      <c r="E304" s="29" t="str">
        <f t="shared" si="19"/>
        <v>F</v>
      </c>
      <c r="F304" s="1" t="s">
        <v>1099</v>
      </c>
      <c r="G304" s="1" t="s">
        <v>400</v>
      </c>
      <c r="H304" s="1" t="s">
        <v>359</v>
      </c>
      <c r="I304" s="1" t="s">
        <v>19</v>
      </c>
      <c r="J304" s="1" t="s">
        <v>31</v>
      </c>
      <c r="K304" s="1" t="s">
        <v>1100</v>
      </c>
      <c r="L304" s="1" t="s">
        <v>1101</v>
      </c>
      <c r="M304" s="1" t="s">
        <v>22</v>
      </c>
      <c r="N304" s="1" t="s">
        <v>118</v>
      </c>
      <c r="O304" s="1" t="s">
        <v>33</v>
      </c>
      <c r="P304" s="1" t="s">
        <v>24</v>
      </c>
      <c r="Q304" s="1" t="s">
        <v>34</v>
      </c>
      <c r="R304" s="1" t="s">
        <v>1102</v>
      </c>
      <c r="S304" s="75">
        <v>45404</v>
      </c>
      <c r="T304" s="1">
        <v>0</v>
      </c>
      <c r="U304" s="1"/>
      <c r="V304" s="1" t="s">
        <v>36</v>
      </c>
      <c r="W304" s="1"/>
      <c r="X304" s="1"/>
      <c r="Y304" s="1"/>
      <c r="Z304" s="1" t="s">
        <v>1836</v>
      </c>
      <c r="AA304" s="75">
        <v>45412</v>
      </c>
      <c r="AB304" s="75">
        <v>45413</v>
      </c>
      <c r="AC304" s="88">
        <v>650000</v>
      </c>
      <c r="AD304" s="88">
        <v>30230000</v>
      </c>
    </row>
    <row r="305" spans="1:30" x14ac:dyDescent="0.4">
      <c r="A305" s="29">
        <v>302</v>
      </c>
      <c r="B305" s="29" t="str">
        <f t="shared" si="16"/>
        <v>304</v>
      </c>
      <c r="C305" s="29" t="str">
        <f t="shared" si="17"/>
        <v>C</v>
      </c>
      <c r="D305" s="29" t="str">
        <f t="shared" si="18"/>
        <v>B</v>
      </c>
      <c r="E305" s="29" t="str">
        <f t="shared" si="19"/>
        <v>F</v>
      </c>
      <c r="F305" s="1" t="s">
        <v>1103</v>
      </c>
      <c r="G305" s="1" t="s">
        <v>1844</v>
      </c>
      <c r="H305" s="1" t="s">
        <v>1844</v>
      </c>
      <c r="I305" s="1" t="s">
        <v>19</v>
      </c>
      <c r="J305" s="1" t="s">
        <v>31</v>
      </c>
      <c r="K305" s="1" t="s">
        <v>322</v>
      </c>
      <c r="L305" s="1" t="s">
        <v>1104</v>
      </c>
      <c r="M305" s="1" t="s">
        <v>22</v>
      </c>
      <c r="N305" s="1" t="s">
        <v>118</v>
      </c>
      <c r="O305" s="1" t="s">
        <v>23</v>
      </c>
      <c r="P305" s="1" t="s">
        <v>24</v>
      </c>
      <c r="Q305" s="1" t="s">
        <v>963</v>
      </c>
      <c r="R305" s="1" t="s">
        <v>1105</v>
      </c>
      <c r="S305" s="75">
        <v>45404</v>
      </c>
      <c r="T305" s="1">
        <v>0</v>
      </c>
      <c r="U305" s="1"/>
      <c r="V305" s="1" t="s">
        <v>27</v>
      </c>
      <c r="W305" s="1" t="s">
        <v>1830</v>
      </c>
      <c r="X305" s="1" t="s">
        <v>1836</v>
      </c>
      <c r="Y305" s="1" t="s">
        <v>1844</v>
      </c>
      <c r="Z305" s="1" t="s">
        <v>1836</v>
      </c>
      <c r="AA305" s="75">
        <v>45412</v>
      </c>
      <c r="AB305" s="75">
        <v>45413</v>
      </c>
      <c r="AC305" s="88">
        <v>900000</v>
      </c>
      <c r="AD305" s="88">
        <v>33550000</v>
      </c>
    </row>
    <row r="306" spans="1:30" x14ac:dyDescent="0.4">
      <c r="A306" s="29">
        <v>303</v>
      </c>
      <c r="B306" s="29" t="str">
        <f t="shared" si="16"/>
        <v>305</v>
      </c>
      <c r="C306" s="29" t="str">
        <f t="shared" si="17"/>
        <v>C</v>
      </c>
      <c r="D306" s="29" t="str">
        <f t="shared" si="18"/>
        <v>B</v>
      </c>
      <c r="E306" s="29" t="str">
        <f t="shared" si="19"/>
        <v>F</v>
      </c>
      <c r="F306" s="1" t="s">
        <v>1106</v>
      </c>
      <c r="G306" s="1" t="s">
        <v>1107</v>
      </c>
      <c r="H306" s="1" t="s">
        <v>1107</v>
      </c>
      <c r="I306" s="1" t="s">
        <v>19</v>
      </c>
      <c r="J306" s="1" t="s">
        <v>1362</v>
      </c>
      <c r="K306" s="1" t="s">
        <v>1108</v>
      </c>
      <c r="L306" s="1" t="s">
        <v>1109</v>
      </c>
      <c r="M306" s="1" t="s">
        <v>22</v>
      </c>
      <c r="N306" s="1" t="s">
        <v>118</v>
      </c>
      <c r="O306" s="1" t="s">
        <v>33</v>
      </c>
      <c r="P306" s="1" t="s">
        <v>24</v>
      </c>
      <c r="Q306" s="1" t="s">
        <v>1110</v>
      </c>
      <c r="R306" s="1" t="s">
        <v>1111</v>
      </c>
      <c r="S306" s="75">
        <v>44440</v>
      </c>
      <c r="T306" s="1">
        <v>3076</v>
      </c>
      <c r="U306" s="1"/>
      <c r="V306" s="1" t="s">
        <v>27</v>
      </c>
      <c r="W306" s="1" t="s">
        <v>1830</v>
      </c>
      <c r="X306" s="1" t="s">
        <v>1836</v>
      </c>
      <c r="Y306" s="1" t="s">
        <v>1861</v>
      </c>
      <c r="Z306" s="1" t="s">
        <v>1836</v>
      </c>
      <c r="AA306" s="75">
        <v>45435</v>
      </c>
      <c r="AB306" s="75">
        <v>45444</v>
      </c>
      <c r="AC306" s="88">
        <v>530000</v>
      </c>
      <c r="AD306" s="88">
        <v>19500000</v>
      </c>
    </row>
    <row r="307" spans="1:30" x14ac:dyDescent="0.4">
      <c r="A307" s="29">
        <v>304</v>
      </c>
      <c r="B307" s="29" t="str">
        <f t="shared" si="16"/>
        <v>306</v>
      </c>
      <c r="C307" s="29" t="str">
        <f t="shared" si="17"/>
        <v>C</v>
      </c>
      <c r="D307" s="29" t="str">
        <f t="shared" si="18"/>
        <v>B</v>
      </c>
      <c r="E307" s="29" t="str">
        <f t="shared" si="19"/>
        <v>F</v>
      </c>
      <c r="F307" s="1" t="s">
        <v>1112</v>
      </c>
      <c r="G307" s="1" t="s">
        <v>447</v>
      </c>
      <c r="H307" s="1" t="s">
        <v>447</v>
      </c>
      <c r="I307" s="1" t="s">
        <v>19</v>
      </c>
      <c r="J307" s="1" t="s">
        <v>31</v>
      </c>
      <c r="K307" s="1" t="s">
        <v>447</v>
      </c>
      <c r="L307" s="1" t="s">
        <v>1113</v>
      </c>
      <c r="M307" s="1" t="s">
        <v>22</v>
      </c>
      <c r="N307" s="1" t="s">
        <v>118</v>
      </c>
      <c r="O307" s="1" t="s">
        <v>1114</v>
      </c>
      <c r="P307" s="1" t="s">
        <v>24</v>
      </c>
      <c r="Q307" s="1" t="s">
        <v>1115</v>
      </c>
      <c r="R307" s="1" t="s">
        <v>1116</v>
      </c>
      <c r="S307" s="75">
        <v>40179</v>
      </c>
      <c r="T307" s="1">
        <v>0</v>
      </c>
      <c r="U307" s="1"/>
      <c r="V307" s="1" t="s">
        <v>36</v>
      </c>
      <c r="W307" s="1"/>
      <c r="X307" s="1"/>
      <c r="Y307" s="1"/>
      <c r="Z307" s="1" t="s">
        <v>1836</v>
      </c>
      <c r="AA307" s="75">
        <v>45442</v>
      </c>
      <c r="AB307" s="75">
        <v>45444</v>
      </c>
      <c r="AC307" s="88">
        <v>700000</v>
      </c>
      <c r="AD307" s="88">
        <v>13000000</v>
      </c>
    </row>
    <row r="308" spans="1:30" x14ac:dyDescent="0.4">
      <c r="A308" s="29">
        <v>305</v>
      </c>
      <c r="B308" s="29" t="str">
        <f t="shared" si="16"/>
        <v>307</v>
      </c>
      <c r="C308" s="29" t="str">
        <f t="shared" si="17"/>
        <v>D</v>
      </c>
      <c r="D308" s="29" t="str">
        <f t="shared" si="18"/>
        <v>B</v>
      </c>
      <c r="E308" s="29" t="str">
        <f t="shared" si="19"/>
        <v>F</v>
      </c>
      <c r="F308" s="1" t="s">
        <v>1740</v>
      </c>
      <c r="G308" s="1" t="s">
        <v>1731</v>
      </c>
      <c r="H308" s="1" t="s">
        <v>359</v>
      </c>
      <c r="I308" s="1" t="s">
        <v>19</v>
      </c>
      <c r="J308" s="1" t="s">
        <v>1362</v>
      </c>
      <c r="K308" s="1" t="s">
        <v>439</v>
      </c>
      <c r="L308" s="1" t="s">
        <v>1117</v>
      </c>
      <c r="M308" s="1" t="s">
        <v>22</v>
      </c>
      <c r="N308" s="1" t="s">
        <v>118</v>
      </c>
      <c r="O308" s="1" t="s">
        <v>33</v>
      </c>
      <c r="P308" s="1" t="s">
        <v>41</v>
      </c>
      <c r="Q308" s="1" t="s">
        <v>560</v>
      </c>
      <c r="R308" s="1" t="s">
        <v>1118</v>
      </c>
      <c r="S308" s="75">
        <v>42736</v>
      </c>
      <c r="T308" s="1">
        <v>0</v>
      </c>
      <c r="U308" s="1"/>
      <c r="V308" s="1" t="s">
        <v>27</v>
      </c>
      <c r="W308" s="1" t="s">
        <v>1830</v>
      </c>
      <c r="X308" s="1" t="s">
        <v>1836</v>
      </c>
      <c r="Y308" s="1" t="s">
        <v>1856</v>
      </c>
      <c r="Z308" s="1" t="s">
        <v>1836</v>
      </c>
      <c r="AA308" s="75">
        <v>45443</v>
      </c>
      <c r="AB308" s="75">
        <v>45444</v>
      </c>
      <c r="AC308" s="88">
        <v>895000</v>
      </c>
      <c r="AD308" s="88">
        <v>12300000</v>
      </c>
    </row>
    <row r="309" spans="1:30" x14ac:dyDescent="0.4">
      <c r="A309" s="29">
        <v>306</v>
      </c>
      <c r="B309" s="29" t="str">
        <f t="shared" si="16"/>
        <v>308</v>
      </c>
      <c r="C309" s="29" t="str">
        <f t="shared" si="17"/>
        <v>D</v>
      </c>
      <c r="D309" s="29" t="str">
        <f t="shared" si="18"/>
        <v>B</v>
      </c>
      <c r="E309" s="29" t="str">
        <f t="shared" si="19"/>
        <v>F</v>
      </c>
      <c r="F309" s="1" t="s">
        <v>1741</v>
      </c>
      <c r="G309" s="1" t="s">
        <v>1731</v>
      </c>
      <c r="H309" s="1" t="s">
        <v>359</v>
      </c>
      <c r="I309" s="1" t="s">
        <v>19</v>
      </c>
      <c r="J309" s="1" t="s">
        <v>1362</v>
      </c>
      <c r="K309" s="1" t="s">
        <v>439</v>
      </c>
      <c r="L309" s="1" t="s">
        <v>1119</v>
      </c>
      <c r="M309" s="1" t="s">
        <v>22</v>
      </c>
      <c r="N309" s="1" t="s">
        <v>118</v>
      </c>
      <c r="O309" s="1" t="s">
        <v>33</v>
      </c>
      <c r="P309" s="1" t="s">
        <v>41</v>
      </c>
      <c r="Q309" s="1" t="s">
        <v>560</v>
      </c>
      <c r="R309" s="1" t="s">
        <v>1120</v>
      </c>
      <c r="S309" s="75">
        <v>42736</v>
      </c>
      <c r="T309" s="1">
        <v>0</v>
      </c>
      <c r="U309" s="1"/>
      <c r="V309" s="1" t="s">
        <v>27</v>
      </c>
      <c r="W309" s="1" t="s">
        <v>1830</v>
      </c>
      <c r="X309" s="1" t="s">
        <v>1836</v>
      </c>
      <c r="Y309" s="1" t="s">
        <v>1856</v>
      </c>
      <c r="Z309" s="1" t="s">
        <v>1836</v>
      </c>
      <c r="AA309" s="75">
        <v>45443</v>
      </c>
      <c r="AB309" s="75">
        <v>45444</v>
      </c>
      <c r="AC309" s="88">
        <v>895000</v>
      </c>
      <c r="AD309" s="88">
        <v>13800000</v>
      </c>
    </row>
    <row r="310" spans="1:30" x14ac:dyDescent="0.4">
      <c r="A310" s="29">
        <v>307</v>
      </c>
      <c r="B310" s="29" t="str">
        <f t="shared" si="16"/>
        <v>309</v>
      </c>
      <c r="C310" s="29" t="str">
        <f t="shared" si="17"/>
        <v>D</v>
      </c>
      <c r="D310" s="29" t="str">
        <f t="shared" si="18"/>
        <v>B</v>
      </c>
      <c r="E310" s="29" t="str">
        <f t="shared" si="19"/>
        <v>F</v>
      </c>
      <c r="F310" s="1" t="s">
        <v>1742</v>
      </c>
      <c r="G310" s="1" t="s">
        <v>1731</v>
      </c>
      <c r="H310" s="1" t="s">
        <v>359</v>
      </c>
      <c r="I310" s="1" t="s">
        <v>19</v>
      </c>
      <c r="J310" s="1" t="s">
        <v>1362</v>
      </c>
      <c r="K310" s="1" t="s">
        <v>439</v>
      </c>
      <c r="L310" s="1" t="s">
        <v>1121</v>
      </c>
      <c r="M310" s="1" t="s">
        <v>22</v>
      </c>
      <c r="N310" s="1" t="s">
        <v>118</v>
      </c>
      <c r="O310" s="1" t="s">
        <v>33</v>
      </c>
      <c r="P310" s="1" t="s">
        <v>41</v>
      </c>
      <c r="Q310" s="1" t="s">
        <v>560</v>
      </c>
      <c r="R310" s="1" t="s">
        <v>1122</v>
      </c>
      <c r="S310" s="75">
        <v>42736</v>
      </c>
      <c r="T310" s="1">
        <v>0</v>
      </c>
      <c r="U310" s="1"/>
      <c r="V310" s="1" t="s">
        <v>27</v>
      </c>
      <c r="W310" s="1" t="s">
        <v>1830</v>
      </c>
      <c r="X310" s="1" t="s">
        <v>1836</v>
      </c>
      <c r="Y310" s="1" t="s">
        <v>1856</v>
      </c>
      <c r="Z310" s="1" t="s">
        <v>1836</v>
      </c>
      <c r="AA310" s="75">
        <v>45443</v>
      </c>
      <c r="AB310" s="75">
        <v>45444</v>
      </c>
      <c r="AC310" s="88">
        <v>895000</v>
      </c>
      <c r="AD310" s="88">
        <v>9500000</v>
      </c>
    </row>
    <row r="311" spans="1:30" x14ac:dyDescent="0.4">
      <c r="A311" s="29">
        <v>308</v>
      </c>
      <c r="B311" s="29" t="str">
        <f t="shared" si="16"/>
        <v>310</v>
      </c>
      <c r="C311" s="29" t="str">
        <f t="shared" si="17"/>
        <v>D</v>
      </c>
      <c r="D311" s="29" t="str">
        <f t="shared" si="18"/>
        <v>B</v>
      </c>
      <c r="E311" s="29" t="str">
        <f t="shared" si="19"/>
        <v>F</v>
      </c>
      <c r="F311" s="1" t="s">
        <v>1743</v>
      </c>
      <c r="G311" s="1" t="s">
        <v>1731</v>
      </c>
      <c r="H311" s="1" t="s">
        <v>359</v>
      </c>
      <c r="I311" s="1" t="s">
        <v>19</v>
      </c>
      <c r="J311" s="1" t="s">
        <v>1362</v>
      </c>
      <c r="K311" s="1" t="s">
        <v>439</v>
      </c>
      <c r="L311" s="1" t="s">
        <v>1123</v>
      </c>
      <c r="M311" s="1" t="s">
        <v>22</v>
      </c>
      <c r="N311" s="1" t="s">
        <v>118</v>
      </c>
      <c r="O311" s="1" t="s">
        <v>33</v>
      </c>
      <c r="P311" s="1" t="s">
        <v>41</v>
      </c>
      <c r="Q311" s="1" t="s">
        <v>1124</v>
      </c>
      <c r="R311" s="1" t="s">
        <v>1125</v>
      </c>
      <c r="S311" s="75">
        <v>44197</v>
      </c>
      <c r="T311" s="1">
        <v>0</v>
      </c>
      <c r="U311" s="1"/>
      <c r="V311" s="1" t="s">
        <v>27</v>
      </c>
      <c r="W311" s="1" t="s">
        <v>1830</v>
      </c>
      <c r="X311" s="1" t="s">
        <v>1836</v>
      </c>
      <c r="Y311" s="1" t="s">
        <v>1862</v>
      </c>
      <c r="Z311" s="1" t="s">
        <v>1836</v>
      </c>
      <c r="AA311" s="75">
        <v>45443</v>
      </c>
      <c r="AB311" s="75">
        <v>45444</v>
      </c>
      <c r="AC311" s="88">
        <v>895000</v>
      </c>
      <c r="AD311" s="88">
        <v>16000000</v>
      </c>
    </row>
    <row r="312" spans="1:30" x14ac:dyDescent="0.4">
      <c r="A312" s="29">
        <v>309</v>
      </c>
      <c r="B312" s="29" t="str">
        <f t="shared" si="16"/>
        <v>311</v>
      </c>
      <c r="C312" s="29" t="str">
        <f t="shared" si="17"/>
        <v>D</v>
      </c>
      <c r="D312" s="29" t="str">
        <f t="shared" si="18"/>
        <v>B</v>
      </c>
      <c r="E312" s="29" t="str">
        <f t="shared" si="19"/>
        <v>F</v>
      </c>
      <c r="F312" s="1" t="s">
        <v>1126</v>
      </c>
      <c r="G312" s="1" t="s">
        <v>1790</v>
      </c>
      <c r="H312" s="1" t="s">
        <v>1836</v>
      </c>
      <c r="I312" s="1" t="s">
        <v>19</v>
      </c>
      <c r="J312" s="1" t="s">
        <v>1362</v>
      </c>
      <c r="K312" s="1" t="s">
        <v>1790</v>
      </c>
      <c r="L312" s="1" t="s">
        <v>1816</v>
      </c>
      <c r="M312" s="1" t="s">
        <v>22</v>
      </c>
      <c r="N312" s="1" t="s">
        <v>118</v>
      </c>
      <c r="O312" s="1" t="s">
        <v>33</v>
      </c>
      <c r="P312" s="1" t="s">
        <v>41</v>
      </c>
      <c r="Q312" s="1" t="s">
        <v>560</v>
      </c>
      <c r="R312" s="1" t="s">
        <v>1127</v>
      </c>
      <c r="S312" s="75">
        <v>43101</v>
      </c>
      <c r="T312" s="1">
        <v>0</v>
      </c>
      <c r="U312" s="1"/>
      <c r="V312" s="1" t="s">
        <v>36</v>
      </c>
      <c r="W312" s="1"/>
      <c r="X312" s="1"/>
      <c r="Y312" s="1"/>
      <c r="Z312" s="1" t="s">
        <v>1836</v>
      </c>
      <c r="AA312" s="75">
        <v>45443</v>
      </c>
      <c r="AB312" s="75">
        <v>45962</v>
      </c>
      <c r="AC312" s="88">
        <v>600000</v>
      </c>
      <c r="AD312" s="88">
        <v>11600000</v>
      </c>
    </row>
    <row r="313" spans="1:30" x14ac:dyDescent="0.4">
      <c r="A313" s="29">
        <v>310</v>
      </c>
      <c r="B313" s="29" t="str">
        <f t="shared" si="16"/>
        <v>312</v>
      </c>
      <c r="C313" s="29" t="str">
        <f t="shared" si="17"/>
        <v>D</v>
      </c>
      <c r="D313" s="29" t="str">
        <f t="shared" si="18"/>
        <v>B</v>
      </c>
      <c r="E313" s="29" t="str">
        <f t="shared" si="19"/>
        <v>F</v>
      </c>
      <c r="F313" s="1" t="s">
        <v>1744</v>
      </c>
      <c r="G313" s="1" t="s">
        <v>1731</v>
      </c>
      <c r="H313" s="1" t="s">
        <v>359</v>
      </c>
      <c r="I313" s="1" t="s">
        <v>19</v>
      </c>
      <c r="J313" s="1" t="s">
        <v>1362</v>
      </c>
      <c r="K313" s="1" t="s">
        <v>439</v>
      </c>
      <c r="L313" s="1" t="s">
        <v>1128</v>
      </c>
      <c r="M313" s="1" t="s">
        <v>22</v>
      </c>
      <c r="N313" s="1" t="s">
        <v>118</v>
      </c>
      <c r="O313" s="1" t="s">
        <v>33</v>
      </c>
      <c r="P313" s="1" t="s">
        <v>41</v>
      </c>
      <c r="Q313" s="1" t="s">
        <v>560</v>
      </c>
      <c r="R313" s="1" t="s">
        <v>1129</v>
      </c>
      <c r="S313" s="75">
        <v>43101</v>
      </c>
      <c r="T313" s="1">
        <v>0</v>
      </c>
      <c r="U313" s="1"/>
      <c r="V313" s="1" t="s">
        <v>27</v>
      </c>
      <c r="W313" s="1" t="s">
        <v>1830</v>
      </c>
      <c r="X313" s="1" t="s">
        <v>1836</v>
      </c>
      <c r="Y313" s="1" t="s">
        <v>1862</v>
      </c>
      <c r="Z313" s="1" t="s">
        <v>1836</v>
      </c>
      <c r="AA313" s="75">
        <v>45443</v>
      </c>
      <c r="AB313" s="75">
        <v>45444</v>
      </c>
      <c r="AC313" s="88">
        <v>895000</v>
      </c>
      <c r="AD313" s="88">
        <v>12400000</v>
      </c>
    </row>
    <row r="314" spans="1:30" ht="17.399999999999999" customHeight="1" x14ac:dyDescent="0.4">
      <c r="A314" s="29">
        <v>311</v>
      </c>
      <c r="B314" s="29" t="str">
        <f t="shared" si="16"/>
        <v>313</v>
      </c>
      <c r="C314" s="29" t="str">
        <f t="shared" si="17"/>
        <v>N</v>
      </c>
      <c r="D314" s="29" t="str">
        <f t="shared" si="18"/>
        <v>B</v>
      </c>
      <c r="E314" s="29" t="str">
        <f t="shared" si="19"/>
        <v>F</v>
      </c>
      <c r="F314" s="1" t="s">
        <v>1745</v>
      </c>
      <c r="G314" s="1" t="s">
        <v>1731</v>
      </c>
      <c r="H314" s="1" t="s">
        <v>359</v>
      </c>
      <c r="I314" s="1" t="s">
        <v>19</v>
      </c>
      <c r="J314" s="1" t="s">
        <v>1362</v>
      </c>
      <c r="K314" s="1" t="s">
        <v>439</v>
      </c>
      <c r="L314" s="1" t="s">
        <v>1130</v>
      </c>
      <c r="M314" s="1" t="s">
        <v>22</v>
      </c>
      <c r="N314" s="1" t="s">
        <v>81</v>
      </c>
      <c r="O314" s="1" t="s">
        <v>136</v>
      </c>
      <c r="P314" s="1" t="s">
        <v>1131</v>
      </c>
      <c r="Q314" s="1" t="s">
        <v>1132</v>
      </c>
      <c r="R314" s="1" t="s">
        <v>1133</v>
      </c>
      <c r="S314" s="75">
        <v>43831</v>
      </c>
      <c r="T314" s="1">
        <v>0</v>
      </c>
      <c r="U314" s="1"/>
      <c r="V314" s="1" t="s">
        <v>27</v>
      </c>
      <c r="W314" s="1" t="s">
        <v>1830</v>
      </c>
      <c r="X314" s="1" t="s">
        <v>1836</v>
      </c>
      <c r="Y314" s="1" t="s">
        <v>1862</v>
      </c>
      <c r="Z314" s="1" t="s">
        <v>1836</v>
      </c>
      <c r="AA314" s="75">
        <v>45443</v>
      </c>
      <c r="AB314" s="75">
        <v>45444</v>
      </c>
      <c r="AC314" s="88">
        <v>795000</v>
      </c>
      <c r="AD314" s="88">
        <v>4400000</v>
      </c>
    </row>
    <row r="315" spans="1:30" ht="17.399999999999999" customHeight="1" x14ac:dyDescent="0.4">
      <c r="A315" s="29">
        <v>312</v>
      </c>
      <c r="B315" s="29" t="str">
        <f t="shared" si="16"/>
        <v>314</v>
      </c>
      <c r="C315" s="29" t="str">
        <f t="shared" si="17"/>
        <v>L</v>
      </c>
      <c r="D315" s="29" t="str">
        <f t="shared" si="18"/>
        <v>B</v>
      </c>
      <c r="E315" s="29" t="str">
        <f t="shared" si="19"/>
        <v>H</v>
      </c>
      <c r="F315" s="1" t="s">
        <v>1957</v>
      </c>
      <c r="G315" s="1" t="s">
        <v>486</v>
      </c>
      <c r="H315" s="1" t="s">
        <v>45</v>
      </c>
      <c r="I315" s="1" t="s">
        <v>19</v>
      </c>
      <c r="J315" s="1" t="s">
        <v>39</v>
      </c>
      <c r="K315" s="1" t="s">
        <v>1134</v>
      </c>
      <c r="L315" s="1" t="s">
        <v>1135</v>
      </c>
      <c r="M315" s="1" t="s">
        <v>220</v>
      </c>
      <c r="N315" s="1" t="s">
        <v>1886</v>
      </c>
      <c r="O315" s="1" t="s">
        <v>129</v>
      </c>
      <c r="P315" s="1" t="s">
        <v>948</v>
      </c>
      <c r="Q315" s="1" t="s">
        <v>527</v>
      </c>
      <c r="R315" s="1" t="s">
        <v>1136</v>
      </c>
      <c r="S315" s="75">
        <v>45422</v>
      </c>
      <c r="T315" s="1">
        <v>0</v>
      </c>
      <c r="U315" s="1"/>
      <c r="V315" s="1" t="s">
        <v>36</v>
      </c>
      <c r="W315" s="1"/>
      <c r="X315" s="1"/>
      <c r="Y315" s="1"/>
      <c r="Z315" s="1" t="s">
        <v>1836</v>
      </c>
      <c r="AA315" s="75">
        <v>45448</v>
      </c>
      <c r="AB315" s="75">
        <v>45444</v>
      </c>
      <c r="AC315" s="88">
        <v>500000</v>
      </c>
      <c r="AD315" s="88">
        <v>16000000</v>
      </c>
    </row>
    <row r="316" spans="1:30" x14ac:dyDescent="0.4">
      <c r="A316" s="29">
        <v>313</v>
      </c>
      <c r="B316" s="29" t="str">
        <f t="shared" si="16"/>
        <v>315</v>
      </c>
      <c r="C316" s="29" t="str">
        <f t="shared" si="17"/>
        <v>C</v>
      </c>
      <c r="D316" s="29" t="str">
        <f t="shared" si="18"/>
        <v>B</v>
      </c>
      <c r="E316" s="29" t="str">
        <f t="shared" si="19"/>
        <v>F</v>
      </c>
      <c r="F316" s="1" t="s">
        <v>1137</v>
      </c>
      <c r="G316" s="1" t="s">
        <v>388</v>
      </c>
      <c r="H316" s="1" t="s">
        <v>1694</v>
      </c>
      <c r="I316" s="1" t="s">
        <v>19</v>
      </c>
      <c r="J316" s="1" t="s">
        <v>31</v>
      </c>
      <c r="K316" s="1" t="s">
        <v>388</v>
      </c>
      <c r="L316" s="1" t="s">
        <v>1138</v>
      </c>
      <c r="M316" s="1" t="s">
        <v>22</v>
      </c>
      <c r="N316" s="1" t="s">
        <v>118</v>
      </c>
      <c r="O316" s="1" t="s">
        <v>23</v>
      </c>
      <c r="P316" s="1" t="s">
        <v>24</v>
      </c>
      <c r="Q316" s="1" t="s">
        <v>963</v>
      </c>
      <c r="R316" s="1" t="s">
        <v>1139</v>
      </c>
      <c r="S316" s="75">
        <v>45454</v>
      </c>
      <c r="T316" s="1">
        <v>0</v>
      </c>
      <c r="U316" s="1"/>
      <c r="V316" s="1" t="s">
        <v>27</v>
      </c>
      <c r="W316" s="1" t="s">
        <v>1830</v>
      </c>
      <c r="X316" s="1" t="s">
        <v>1836</v>
      </c>
      <c r="Y316" s="1" t="s">
        <v>1864</v>
      </c>
      <c r="Z316" s="1" t="s">
        <v>1836</v>
      </c>
      <c r="AA316" s="75">
        <v>45454</v>
      </c>
      <c r="AB316" s="75">
        <v>45474</v>
      </c>
      <c r="AC316" s="88">
        <v>800000</v>
      </c>
      <c r="AD316" s="88">
        <v>35530000</v>
      </c>
    </row>
    <row r="317" spans="1:30" x14ac:dyDescent="0.4">
      <c r="A317" s="29">
        <v>314</v>
      </c>
      <c r="B317" s="29" t="str">
        <f t="shared" si="16"/>
        <v>316</v>
      </c>
      <c r="C317" s="29" t="str">
        <f t="shared" si="17"/>
        <v>C</v>
      </c>
      <c r="D317" s="29" t="str">
        <f t="shared" si="18"/>
        <v>B</v>
      </c>
      <c r="E317" s="29" t="str">
        <f t="shared" si="19"/>
        <v>F</v>
      </c>
      <c r="F317" s="1" t="s">
        <v>1140</v>
      </c>
      <c r="G317" s="1" t="s">
        <v>486</v>
      </c>
      <c r="H317" s="1" t="s">
        <v>45</v>
      </c>
      <c r="I317" s="1" t="s">
        <v>19</v>
      </c>
      <c r="J317" s="1" t="s">
        <v>39</v>
      </c>
      <c r="K317" s="1" t="s">
        <v>1141</v>
      </c>
      <c r="L317" s="1" t="s">
        <v>1142</v>
      </c>
      <c r="M317" s="1" t="s">
        <v>22</v>
      </c>
      <c r="N317" s="1" t="s">
        <v>118</v>
      </c>
      <c r="O317" s="1" t="s">
        <v>33</v>
      </c>
      <c r="P317" s="1" t="s">
        <v>24</v>
      </c>
      <c r="Q317" s="1" t="s">
        <v>1143</v>
      </c>
      <c r="R317" s="1" t="s">
        <v>1144</v>
      </c>
      <c r="S317" s="75">
        <v>45461</v>
      </c>
      <c r="T317" s="1">
        <v>0</v>
      </c>
      <c r="U317" s="1"/>
      <c r="V317" s="1" t="s">
        <v>27</v>
      </c>
      <c r="W317" s="1" t="s">
        <v>1830</v>
      </c>
      <c r="X317" s="1" t="s">
        <v>1836</v>
      </c>
      <c r="Y317" s="1" t="s">
        <v>1863</v>
      </c>
      <c r="Z317" s="1" t="s">
        <v>1836</v>
      </c>
      <c r="AA317" s="75">
        <v>45461</v>
      </c>
      <c r="AB317" s="75">
        <v>45474</v>
      </c>
      <c r="AC317" s="88">
        <v>850000</v>
      </c>
      <c r="AD317" s="88">
        <v>29650000</v>
      </c>
    </row>
    <row r="318" spans="1:30" x14ac:dyDescent="0.4">
      <c r="A318" s="29">
        <v>315</v>
      </c>
      <c r="B318" s="29" t="str">
        <f t="shared" si="16"/>
        <v>317</v>
      </c>
      <c r="C318" s="29" t="str">
        <f t="shared" si="17"/>
        <v>C</v>
      </c>
      <c r="D318" s="29" t="str">
        <f t="shared" si="18"/>
        <v>B</v>
      </c>
      <c r="E318" s="29" t="str">
        <f t="shared" si="19"/>
        <v>F</v>
      </c>
      <c r="F318" s="1" t="s">
        <v>1145</v>
      </c>
      <c r="G318" s="1" t="s">
        <v>370</v>
      </c>
      <c r="H318" s="1" t="s">
        <v>359</v>
      </c>
      <c r="I318" s="1" t="s">
        <v>19</v>
      </c>
      <c r="J318" s="1" t="s">
        <v>31</v>
      </c>
      <c r="K318" s="1" t="s">
        <v>1092</v>
      </c>
      <c r="L318" s="1" t="s">
        <v>1146</v>
      </c>
      <c r="M318" s="1" t="s">
        <v>22</v>
      </c>
      <c r="N318" s="1" t="s">
        <v>118</v>
      </c>
      <c r="O318" s="1" t="s">
        <v>23</v>
      </c>
      <c r="P318" s="1" t="s">
        <v>24</v>
      </c>
      <c r="Q318" s="1" t="s">
        <v>1147</v>
      </c>
      <c r="R318" s="1" t="s">
        <v>1148</v>
      </c>
      <c r="S318" s="75">
        <v>45462</v>
      </c>
      <c r="T318" s="1">
        <v>0</v>
      </c>
      <c r="U318" s="1"/>
      <c r="V318" s="1" t="s">
        <v>36</v>
      </c>
      <c r="W318" s="1"/>
      <c r="X318" s="1"/>
      <c r="Y318" s="1"/>
      <c r="Z318" s="1" t="s">
        <v>1836</v>
      </c>
      <c r="AA318" s="75">
        <v>45464</v>
      </c>
      <c r="AB318" s="75">
        <v>45474</v>
      </c>
      <c r="AC318" s="88">
        <v>650000</v>
      </c>
      <c r="AD318" s="88">
        <v>29950000</v>
      </c>
    </row>
    <row r="319" spans="1:30" x14ac:dyDescent="0.4">
      <c r="A319" s="29">
        <v>316</v>
      </c>
      <c r="B319" s="29" t="str">
        <f t="shared" si="16"/>
        <v>318</v>
      </c>
      <c r="C319" s="29" t="str">
        <f t="shared" si="17"/>
        <v>C</v>
      </c>
      <c r="D319" s="29" t="str">
        <f t="shared" si="18"/>
        <v>B</v>
      </c>
      <c r="E319" s="29" t="str">
        <f t="shared" si="19"/>
        <v>F</v>
      </c>
      <c r="F319" s="1" t="s">
        <v>1149</v>
      </c>
      <c r="G319" s="1" t="s">
        <v>388</v>
      </c>
      <c r="H319" s="1" t="s">
        <v>1694</v>
      </c>
      <c r="I319" s="1" t="s">
        <v>19</v>
      </c>
      <c r="J319" s="1" t="s">
        <v>31</v>
      </c>
      <c r="K319" s="1" t="s">
        <v>388</v>
      </c>
      <c r="L319" s="1" t="s">
        <v>1150</v>
      </c>
      <c r="M319" s="1" t="s">
        <v>22</v>
      </c>
      <c r="N319" s="1" t="s">
        <v>118</v>
      </c>
      <c r="O319" s="1" t="s">
        <v>33</v>
      </c>
      <c r="P319" s="1" t="s">
        <v>24</v>
      </c>
      <c r="Q319" s="1" t="s">
        <v>34</v>
      </c>
      <c r="R319" s="1" t="s">
        <v>1151</v>
      </c>
      <c r="S319" s="75">
        <v>45461</v>
      </c>
      <c r="T319" s="1">
        <v>0</v>
      </c>
      <c r="U319" s="1"/>
      <c r="V319" s="1" t="s">
        <v>27</v>
      </c>
      <c r="W319" s="1" t="s">
        <v>1830</v>
      </c>
      <c r="X319" s="1" t="s">
        <v>1836</v>
      </c>
      <c r="Y319" s="1" t="s">
        <v>388</v>
      </c>
      <c r="Z319" s="1" t="s">
        <v>1836</v>
      </c>
      <c r="AA319" s="75">
        <v>45464</v>
      </c>
      <c r="AB319" s="75">
        <v>45474</v>
      </c>
      <c r="AC319" s="88">
        <v>1100000</v>
      </c>
      <c r="AD319" s="88">
        <v>29980000</v>
      </c>
    </row>
    <row r="320" spans="1:30" x14ac:dyDescent="0.4">
      <c r="A320" s="29">
        <v>317</v>
      </c>
      <c r="B320" s="29" t="str">
        <f t="shared" si="16"/>
        <v>319</v>
      </c>
      <c r="C320" s="29" t="str">
        <f t="shared" si="17"/>
        <v>C</v>
      </c>
      <c r="D320" s="29" t="str">
        <f t="shared" si="18"/>
        <v>B</v>
      </c>
      <c r="E320" s="29" t="str">
        <f t="shared" si="19"/>
        <v>F</v>
      </c>
      <c r="F320" s="1" t="s">
        <v>1152</v>
      </c>
      <c r="G320" s="1" t="s">
        <v>388</v>
      </c>
      <c r="H320" s="1" t="s">
        <v>1694</v>
      </c>
      <c r="I320" s="1" t="s">
        <v>19</v>
      </c>
      <c r="J320" s="1" t="s">
        <v>31</v>
      </c>
      <c r="K320" s="1" t="s">
        <v>388</v>
      </c>
      <c r="L320" s="1" t="s">
        <v>1153</v>
      </c>
      <c r="M320" s="1" t="s">
        <v>22</v>
      </c>
      <c r="N320" s="1" t="s">
        <v>118</v>
      </c>
      <c r="O320" s="1" t="s">
        <v>33</v>
      </c>
      <c r="P320" s="1" t="s">
        <v>24</v>
      </c>
      <c r="Q320" s="1" t="s">
        <v>34</v>
      </c>
      <c r="R320" s="1" t="s">
        <v>1154</v>
      </c>
      <c r="S320" s="75">
        <v>45461</v>
      </c>
      <c r="T320" s="1">
        <v>0</v>
      </c>
      <c r="U320" s="1"/>
      <c r="V320" s="1" t="s">
        <v>27</v>
      </c>
      <c r="W320" s="1" t="s">
        <v>1830</v>
      </c>
      <c r="X320" s="1" t="s">
        <v>1836</v>
      </c>
      <c r="Y320" s="1" t="s">
        <v>388</v>
      </c>
      <c r="Z320" s="1" t="s">
        <v>1836</v>
      </c>
      <c r="AA320" s="75">
        <v>45464</v>
      </c>
      <c r="AB320" s="75">
        <v>45474</v>
      </c>
      <c r="AC320" s="88">
        <v>700000</v>
      </c>
      <c r="AD320" s="88">
        <v>30500000</v>
      </c>
    </row>
    <row r="321" spans="1:30" ht="17.399999999999999" customHeight="1" x14ac:dyDescent="0.4">
      <c r="A321" s="29">
        <v>318</v>
      </c>
      <c r="B321" s="29" t="str">
        <f t="shared" si="16"/>
        <v>320</v>
      </c>
      <c r="C321" s="29" t="str">
        <f t="shared" si="17"/>
        <v>L</v>
      </c>
      <c r="D321" s="29" t="str">
        <f t="shared" si="18"/>
        <v>B</v>
      </c>
      <c r="E321" s="29" t="str">
        <f t="shared" si="19"/>
        <v>H</v>
      </c>
      <c r="F321" s="1" t="s">
        <v>1958</v>
      </c>
      <c r="G321" s="1" t="s">
        <v>486</v>
      </c>
      <c r="H321" s="1" t="s">
        <v>45</v>
      </c>
      <c r="I321" s="1" t="s">
        <v>19</v>
      </c>
      <c r="J321" s="1" t="s">
        <v>39</v>
      </c>
      <c r="K321" s="1" t="s">
        <v>1155</v>
      </c>
      <c r="L321" s="1" t="s">
        <v>1156</v>
      </c>
      <c r="M321" s="1" t="s">
        <v>22</v>
      </c>
      <c r="N321" s="1" t="s">
        <v>1886</v>
      </c>
      <c r="O321" s="1" t="s">
        <v>531</v>
      </c>
      <c r="P321" s="1" t="s">
        <v>948</v>
      </c>
      <c r="Q321" s="1" t="s">
        <v>1157</v>
      </c>
      <c r="R321" s="1" t="s">
        <v>1158</v>
      </c>
      <c r="S321" s="75">
        <v>45463</v>
      </c>
      <c r="T321" s="1">
        <v>0</v>
      </c>
      <c r="U321" s="1"/>
      <c r="V321" s="1" t="s">
        <v>36</v>
      </c>
      <c r="W321" s="1"/>
      <c r="X321" s="1"/>
      <c r="Y321" s="1"/>
      <c r="Z321" s="1" t="s">
        <v>1836</v>
      </c>
      <c r="AA321" s="75">
        <v>45468</v>
      </c>
      <c r="AB321" s="75">
        <v>45474</v>
      </c>
      <c r="AC321" s="88">
        <v>480000</v>
      </c>
      <c r="AD321" s="88">
        <v>14800000</v>
      </c>
    </row>
    <row r="322" spans="1:30" x14ac:dyDescent="0.4">
      <c r="A322" s="29">
        <v>319</v>
      </c>
      <c r="B322" s="29" t="str">
        <f t="shared" si="16"/>
        <v>321</v>
      </c>
      <c r="C322" s="29" t="str">
        <f t="shared" si="17"/>
        <v>C</v>
      </c>
      <c r="D322" s="29" t="str">
        <f t="shared" si="18"/>
        <v>B</v>
      </c>
      <c r="E322" s="29" t="str">
        <f t="shared" si="19"/>
        <v>F</v>
      </c>
      <c r="F322" s="1" t="s">
        <v>1159</v>
      </c>
      <c r="G322" s="1" t="s">
        <v>1836</v>
      </c>
      <c r="H322" s="1" t="s">
        <v>1693</v>
      </c>
      <c r="I322" s="1" t="s">
        <v>1980</v>
      </c>
      <c r="J322" s="1" t="s">
        <v>31</v>
      </c>
      <c r="K322" s="1" t="s">
        <v>2034</v>
      </c>
      <c r="L322" s="1" t="s">
        <v>1364</v>
      </c>
      <c r="M322" s="1" t="s">
        <v>22</v>
      </c>
      <c r="N322" s="1" t="s">
        <v>118</v>
      </c>
      <c r="O322" s="1" t="s">
        <v>23</v>
      </c>
      <c r="P322" s="1" t="s">
        <v>24</v>
      </c>
      <c r="Q322" s="1" t="s">
        <v>1160</v>
      </c>
      <c r="R322" s="1" t="s">
        <v>1161</v>
      </c>
      <c r="S322" s="75">
        <v>38018</v>
      </c>
      <c r="T322" s="1">
        <v>6956</v>
      </c>
      <c r="U322" s="1" t="s">
        <v>1162</v>
      </c>
      <c r="V322" s="1" t="s">
        <v>36</v>
      </c>
      <c r="W322" s="1"/>
      <c r="X322" s="1"/>
      <c r="Y322" s="1"/>
      <c r="Z322" s="1" t="s">
        <v>1836</v>
      </c>
      <c r="AA322" s="75">
        <v>45474</v>
      </c>
      <c r="AB322" s="75">
        <v>45749</v>
      </c>
      <c r="AC322" s="88">
        <v>0</v>
      </c>
      <c r="AD322" s="88">
        <v>3300000</v>
      </c>
    </row>
    <row r="323" spans="1:30" x14ac:dyDescent="0.4">
      <c r="A323" s="29">
        <v>320</v>
      </c>
      <c r="B323" s="29" t="str">
        <f t="shared" si="16"/>
        <v>322</v>
      </c>
      <c r="C323" s="29" t="str">
        <f t="shared" si="17"/>
        <v>C</v>
      </c>
      <c r="D323" s="29" t="str">
        <f t="shared" si="18"/>
        <v>B</v>
      </c>
      <c r="E323" s="29" t="str">
        <f t="shared" si="19"/>
        <v>F</v>
      </c>
      <c r="F323" s="1" t="s">
        <v>1163</v>
      </c>
      <c r="G323" s="1" t="s">
        <v>1107</v>
      </c>
      <c r="H323" s="1" t="s">
        <v>1107</v>
      </c>
      <c r="I323" s="1" t="s">
        <v>19</v>
      </c>
      <c r="J323" s="1" t="s">
        <v>1362</v>
      </c>
      <c r="K323" s="1" t="s">
        <v>1108</v>
      </c>
      <c r="L323" s="1" t="s">
        <v>1164</v>
      </c>
      <c r="M323" s="1" t="s">
        <v>22</v>
      </c>
      <c r="N323" s="1" t="s">
        <v>118</v>
      </c>
      <c r="O323" s="1" t="s">
        <v>23</v>
      </c>
      <c r="P323" s="1" t="s">
        <v>24</v>
      </c>
      <c r="Q323" s="1" t="s">
        <v>25</v>
      </c>
      <c r="R323" s="1" t="s">
        <v>1165</v>
      </c>
      <c r="S323" s="75">
        <v>40634</v>
      </c>
      <c r="T323" s="1">
        <v>8514</v>
      </c>
      <c r="U323" s="1"/>
      <c r="V323" s="1" t="s">
        <v>27</v>
      </c>
      <c r="W323" s="1" t="s">
        <v>1830</v>
      </c>
      <c r="X323" s="1" t="s">
        <v>1836</v>
      </c>
      <c r="Y323" s="1" t="s">
        <v>1861</v>
      </c>
      <c r="Z323" s="1" t="s">
        <v>1836</v>
      </c>
      <c r="AA323" s="75">
        <v>45474</v>
      </c>
      <c r="AB323" s="75">
        <v>45490</v>
      </c>
      <c r="AC323" s="88">
        <v>600000</v>
      </c>
      <c r="AD323" s="88">
        <v>5500000</v>
      </c>
    </row>
    <row r="324" spans="1:30" ht="17.399999999999999" customHeight="1" x14ac:dyDescent="0.4">
      <c r="A324" s="29">
        <v>321</v>
      </c>
      <c r="B324" s="29" t="str">
        <f t="shared" si="16"/>
        <v>323</v>
      </c>
      <c r="C324" s="29" t="str">
        <f t="shared" si="17"/>
        <v>C</v>
      </c>
      <c r="D324" s="29" t="str">
        <f t="shared" si="18"/>
        <v>B</v>
      </c>
      <c r="E324" s="29" t="str">
        <f t="shared" si="19"/>
        <v>F</v>
      </c>
      <c r="F324" s="1" t="s">
        <v>1166</v>
      </c>
      <c r="G324" s="1" t="s">
        <v>101</v>
      </c>
      <c r="H324" s="1" t="s">
        <v>101</v>
      </c>
      <c r="I324" s="1" t="s">
        <v>19</v>
      </c>
      <c r="J324" s="1" t="s">
        <v>1362</v>
      </c>
      <c r="K324" s="1" t="s">
        <v>101</v>
      </c>
      <c r="L324" s="1" t="s">
        <v>1167</v>
      </c>
      <c r="M324" s="1" t="s">
        <v>22</v>
      </c>
      <c r="N324" s="1" t="s">
        <v>81</v>
      </c>
      <c r="O324" s="1" t="s">
        <v>129</v>
      </c>
      <c r="P324" s="1" t="s">
        <v>24</v>
      </c>
      <c r="Q324" s="1" t="s">
        <v>1168</v>
      </c>
      <c r="R324" s="1" t="s">
        <v>1169</v>
      </c>
      <c r="S324" s="75">
        <v>39417</v>
      </c>
      <c r="T324" s="1">
        <v>9104</v>
      </c>
      <c r="U324" s="1"/>
      <c r="V324" s="1" t="s">
        <v>36</v>
      </c>
      <c r="W324" s="1"/>
      <c r="X324" s="1"/>
      <c r="Y324" s="1"/>
      <c r="Z324" s="1" t="s">
        <v>1836</v>
      </c>
      <c r="AA324" s="75">
        <v>45474</v>
      </c>
      <c r="AB324" s="75">
        <v>45597</v>
      </c>
      <c r="AC324" s="88">
        <v>450000</v>
      </c>
      <c r="AD324" s="88">
        <v>3000000</v>
      </c>
    </row>
    <row r="325" spans="1:30" ht="17.399999999999999" customHeight="1" x14ac:dyDescent="0.4">
      <c r="A325" s="29">
        <v>322</v>
      </c>
      <c r="B325" s="29" t="str">
        <f t="shared" ref="B325:B360" si="20">MID(F325,8,3)</f>
        <v>324</v>
      </c>
      <c r="C325" s="29" t="str">
        <f t="shared" ref="C325:C360" si="21">MID(F325,1,1)</f>
        <v>C</v>
      </c>
      <c r="D325" s="29" t="str">
        <f t="shared" ref="D325:D360" si="22">MID(F325,3,1)</f>
        <v>B</v>
      </c>
      <c r="E325" s="29" t="str">
        <f t="shared" ref="E325:E360" si="23">MID(F325,2,1)</f>
        <v>F</v>
      </c>
      <c r="F325" s="1" t="s">
        <v>1170</v>
      </c>
      <c r="G325" s="1" t="s">
        <v>1836</v>
      </c>
      <c r="H325" s="1" t="s">
        <v>1693</v>
      </c>
      <c r="I325" s="1" t="s">
        <v>1780</v>
      </c>
      <c r="J325" s="1" t="s">
        <v>31</v>
      </c>
      <c r="K325" s="1" t="s">
        <v>1707</v>
      </c>
      <c r="L325" s="1" t="s">
        <v>1171</v>
      </c>
      <c r="M325" s="1" t="s">
        <v>22</v>
      </c>
      <c r="N325" s="1" t="s">
        <v>81</v>
      </c>
      <c r="O325" s="1" t="s">
        <v>55</v>
      </c>
      <c r="P325" s="1" t="s">
        <v>24</v>
      </c>
      <c r="Q325" s="1" t="s">
        <v>1172</v>
      </c>
      <c r="R325" s="1" t="s">
        <v>1173</v>
      </c>
      <c r="S325" s="75">
        <v>35977</v>
      </c>
      <c r="T325" s="1">
        <v>5121</v>
      </c>
      <c r="U325" s="1"/>
      <c r="V325" s="1" t="s">
        <v>36</v>
      </c>
      <c r="W325" s="1"/>
      <c r="X325" s="1"/>
      <c r="Y325" s="1"/>
      <c r="Z325" s="1" t="s">
        <v>1836</v>
      </c>
      <c r="AA325" s="75">
        <v>45474</v>
      </c>
      <c r="AB325" s="75">
        <v>45474</v>
      </c>
      <c r="AC325" s="88">
        <v>0</v>
      </c>
      <c r="AD325" s="88">
        <v>1400000</v>
      </c>
    </row>
    <row r="326" spans="1:30" ht="17.399999999999999" customHeight="1" x14ac:dyDescent="0.4">
      <c r="A326" s="29">
        <v>323</v>
      </c>
      <c r="B326" s="29" t="str">
        <f t="shared" si="20"/>
        <v>325</v>
      </c>
      <c r="C326" s="29" t="str">
        <f t="shared" si="21"/>
        <v>C</v>
      </c>
      <c r="D326" s="29" t="str">
        <f t="shared" si="22"/>
        <v>B</v>
      </c>
      <c r="E326" s="29" t="str">
        <f t="shared" si="23"/>
        <v>F</v>
      </c>
      <c r="F326" s="1" t="s">
        <v>1174</v>
      </c>
      <c r="G326" s="1" t="s">
        <v>1836</v>
      </c>
      <c r="H326" s="1" t="s">
        <v>1693</v>
      </c>
      <c r="I326" s="1" t="s">
        <v>1780</v>
      </c>
      <c r="J326" s="1" t="s">
        <v>31</v>
      </c>
      <c r="K326" s="1" t="s">
        <v>2013</v>
      </c>
      <c r="L326" s="1" t="s">
        <v>1175</v>
      </c>
      <c r="M326" s="1" t="s">
        <v>22</v>
      </c>
      <c r="N326" s="1" t="s">
        <v>81</v>
      </c>
      <c r="O326" s="1" t="s">
        <v>33</v>
      </c>
      <c r="P326" s="1" t="s">
        <v>24</v>
      </c>
      <c r="Q326" s="1" t="s">
        <v>1031</v>
      </c>
      <c r="R326" s="1" t="s">
        <v>1173</v>
      </c>
      <c r="S326" s="75">
        <v>35977</v>
      </c>
      <c r="T326" s="1">
        <v>7367</v>
      </c>
      <c r="U326" s="1"/>
      <c r="V326" s="1" t="s">
        <v>36</v>
      </c>
      <c r="W326" s="1"/>
      <c r="X326" s="1"/>
      <c r="Y326" s="1"/>
      <c r="Z326" s="1" t="s">
        <v>1836</v>
      </c>
      <c r="AA326" s="75">
        <v>45474</v>
      </c>
      <c r="AB326" s="75">
        <v>45474</v>
      </c>
      <c r="AC326" s="88">
        <v>0</v>
      </c>
      <c r="AD326" s="88">
        <v>1400000</v>
      </c>
    </row>
    <row r="327" spans="1:30" ht="17.399999999999999" customHeight="1" x14ac:dyDescent="0.4">
      <c r="A327" s="29">
        <v>324</v>
      </c>
      <c r="B327" s="29" t="str">
        <f t="shared" si="20"/>
        <v>326</v>
      </c>
      <c r="C327" s="29" t="str">
        <f t="shared" si="21"/>
        <v>C</v>
      </c>
      <c r="D327" s="29" t="str">
        <f t="shared" si="22"/>
        <v>B</v>
      </c>
      <c r="E327" s="29" t="str">
        <f t="shared" si="23"/>
        <v>F</v>
      </c>
      <c r="F327" s="1" t="s">
        <v>1176</v>
      </c>
      <c r="G327" s="1" t="s">
        <v>1836</v>
      </c>
      <c r="H327" s="1" t="s">
        <v>1693</v>
      </c>
      <c r="I327" s="1" t="s">
        <v>1780</v>
      </c>
      <c r="J327" s="1" t="s">
        <v>31</v>
      </c>
      <c r="K327" s="1" t="s">
        <v>1707</v>
      </c>
      <c r="L327" s="1" t="s">
        <v>1177</v>
      </c>
      <c r="M327" s="1" t="s">
        <v>22</v>
      </c>
      <c r="N327" s="1" t="s">
        <v>81</v>
      </c>
      <c r="O327" s="1" t="s">
        <v>33</v>
      </c>
      <c r="P327" s="1" t="s">
        <v>24</v>
      </c>
      <c r="Q327" s="1" t="s">
        <v>1024</v>
      </c>
      <c r="R327" s="1" t="s">
        <v>1178</v>
      </c>
      <c r="S327" s="75">
        <v>38353</v>
      </c>
      <c r="T327" s="1">
        <v>0</v>
      </c>
      <c r="U327" s="1"/>
      <c r="V327" s="1" t="s">
        <v>36</v>
      </c>
      <c r="W327" s="1"/>
      <c r="X327" s="1"/>
      <c r="Y327" s="1"/>
      <c r="Z327" s="1" t="s">
        <v>1836</v>
      </c>
      <c r="AA327" s="75">
        <v>45474</v>
      </c>
      <c r="AB327" s="75">
        <v>45474</v>
      </c>
      <c r="AC327" s="88">
        <v>0</v>
      </c>
      <c r="AD327" s="88">
        <v>2500000</v>
      </c>
    </row>
    <row r="328" spans="1:30" ht="17.399999999999999" customHeight="1" x14ac:dyDescent="0.4">
      <c r="A328" s="29">
        <v>325</v>
      </c>
      <c r="B328" s="29" t="str">
        <f t="shared" si="20"/>
        <v>327</v>
      </c>
      <c r="C328" s="29" t="str">
        <f t="shared" si="21"/>
        <v>C</v>
      </c>
      <c r="D328" s="29" t="str">
        <f t="shared" si="22"/>
        <v>B</v>
      </c>
      <c r="E328" s="29" t="str">
        <f t="shared" si="23"/>
        <v>F</v>
      </c>
      <c r="F328" s="1" t="s">
        <v>1179</v>
      </c>
      <c r="G328" s="1" t="s">
        <v>1836</v>
      </c>
      <c r="H328" s="1" t="s">
        <v>1693</v>
      </c>
      <c r="I328" s="1" t="s">
        <v>736</v>
      </c>
      <c r="J328" s="1" t="s">
        <v>31</v>
      </c>
      <c r="K328" s="1" t="s">
        <v>1707</v>
      </c>
      <c r="L328" s="1" t="s">
        <v>2036</v>
      </c>
      <c r="M328" s="1" t="s">
        <v>22</v>
      </c>
      <c r="N328" s="1" t="s">
        <v>81</v>
      </c>
      <c r="O328" s="1" t="s">
        <v>33</v>
      </c>
      <c r="P328" s="1" t="s">
        <v>24</v>
      </c>
      <c r="Q328" s="1" t="s">
        <v>1024</v>
      </c>
      <c r="R328" s="1" t="s">
        <v>1180</v>
      </c>
      <c r="S328" s="75">
        <v>38596</v>
      </c>
      <c r="T328" s="1">
        <v>9902</v>
      </c>
      <c r="U328" s="1"/>
      <c r="V328" s="1" t="s">
        <v>36</v>
      </c>
      <c r="W328" s="1"/>
      <c r="X328" s="1"/>
      <c r="Y328" s="1"/>
      <c r="Z328" s="1" t="s">
        <v>1836</v>
      </c>
      <c r="AA328" s="75">
        <v>45474</v>
      </c>
      <c r="AB328" s="75">
        <v>46082</v>
      </c>
      <c r="AC328" s="88">
        <v>0</v>
      </c>
      <c r="AD328" s="88">
        <v>1000000</v>
      </c>
    </row>
    <row r="329" spans="1:30" x14ac:dyDescent="0.4">
      <c r="A329" s="29">
        <v>326</v>
      </c>
      <c r="B329" s="29" t="str">
        <f t="shared" si="20"/>
        <v>328</v>
      </c>
      <c r="C329" s="29" t="str">
        <f t="shared" si="21"/>
        <v>C</v>
      </c>
      <c r="D329" s="29" t="str">
        <f t="shared" si="22"/>
        <v>B</v>
      </c>
      <c r="E329" s="29" t="str">
        <f t="shared" si="23"/>
        <v>F</v>
      </c>
      <c r="F329" s="1" t="s">
        <v>1181</v>
      </c>
      <c r="G329" s="1" t="s">
        <v>2021</v>
      </c>
      <c r="H329" s="1" t="s">
        <v>1693</v>
      </c>
      <c r="I329" s="1" t="s">
        <v>19</v>
      </c>
      <c r="J329" s="1" t="s">
        <v>1362</v>
      </c>
      <c r="K329" s="1" t="s">
        <v>2021</v>
      </c>
      <c r="L329" s="1" t="s">
        <v>2022</v>
      </c>
      <c r="M329" s="1" t="s">
        <v>22</v>
      </c>
      <c r="N329" s="1" t="s">
        <v>118</v>
      </c>
      <c r="O329" s="1" t="s">
        <v>23</v>
      </c>
      <c r="P329" s="1" t="s">
        <v>24</v>
      </c>
      <c r="Q329" s="1" t="s">
        <v>963</v>
      </c>
      <c r="R329" s="1" t="s">
        <v>1183</v>
      </c>
      <c r="S329" s="75">
        <v>43770</v>
      </c>
      <c r="T329" s="1">
        <v>3109</v>
      </c>
      <c r="U329" s="1"/>
      <c r="V329" s="1" t="s">
        <v>27</v>
      </c>
      <c r="W329" s="1" t="s">
        <v>1830</v>
      </c>
      <c r="X329" s="1" t="s">
        <v>1836</v>
      </c>
      <c r="Y329" s="1" t="s">
        <v>2023</v>
      </c>
      <c r="Z329" s="1" t="s">
        <v>1836</v>
      </c>
      <c r="AA329" s="75">
        <v>45510</v>
      </c>
      <c r="AB329" s="75">
        <v>46011</v>
      </c>
      <c r="AC329" s="88">
        <v>650000</v>
      </c>
      <c r="AD329" s="88">
        <v>16000000</v>
      </c>
    </row>
    <row r="330" spans="1:30" ht="17.399999999999999" customHeight="1" x14ac:dyDescent="0.4">
      <c r="A330" s="29">
        <v>327</v>
      </c>
      <c r="B330" s="29" t="str">
        <f t="shared" si="20"/>
        <v>329</v>
      </c>
      <c r="C330" s="29" t="str">
        <f t="shared" si="21"/>
        <v>D</v>
      </c>
      <c r="D330" s="29" t="str">
        <f t="shared" si="22"/>
        <v>O</v>
      </c>
      <c r="E330" s="29" t="str">
        <f t="shared" si="23"/>
        <v>F</v>
      </c>
      <c r="F330" s="1" t="s">
        <v>1184</v>
      </c>
      <c r="G330" s="1" t="s">
        <v>1185</v>
      </c>
      <c r="H330" s="1" t="s">
        <v>1185</v>
      </c>
      <c r="I330" s="1" t="s">
        <v>19</v>
      </c>
      <c r="J330" s="1" t="s">
        <v>31</v>
      </c>
      <c r="K330" s="1" t="s">
        <v>1185</v>
      </c>
      <c r="L330" s="1" t="s">
        <v>1186</v>
      </c>
      <c r="M330" s="1" t="s">
        <v>22</v>
      </c>
      <c r="N330" s="1" t="s">
        <v>118</v>
      </c>
      <c r="O330" s="1" t="s">
        <v>333</v>
      </c>
      <c r="P330" s="1" t="s">
        <v>41</v>
      </c>
      <c r="Q330" s="1" t="s">
        <v>1187</v>
      </c>
      <c r="R330" s="1" t="s">
        <v>1188</v>
      </c>
      <c r="S330" s="75">
        <v>42278</v>
      </c>
      <c r="T330" s="1">
        <v>0</v>
      </c>
      <c r="U330" s="1" t="s">
        <v>1189</v>
      </c>
      <c r="V330" s="1" t="s">
        <v>36</v>
      </c>
      <c r="W330" s="1"/>
      <c r="X330" s="1"/>
      <c r="Y330" s="1"/>
      <c r="Z330" s="1" t="s">
        <v>1836</v>
      </c>
      <c r="AA330" s="75">
        <v>45510</v>
      </c>
      <c r="AB330" s="75">
        <v>45516</v>
      </c>
      <c r="AC330" s="88">
        <v>700000</v>
      </c>
      <c r="AD330" s="88">
        <v>23291200</v>
      </c>
    </row>
    <row r="331" spans="1:30" ht="17.399999999999999" customHeight="1" x14ac:dyDescent="0.4">
      <c r="A331" s="29">
        <v>328</v>
      </c>
      <c r="B331" s="29" t="str">
        <f t="shared" si="20"/>
        <v>330</v>
      </c>
      <c r="C331" s="29" t="str">
        <f t="shared" si="21"/>
        <v>D</v>
      </c>
      <c r="D331" s="29" t="str">
        <f t="shared" si="22"/>
        <v>O</v>
      </c>
      <c r="E331" s="29" t="str">
        <f t="shared" si="23"/>
        <v>F</v>
      </c>
      <c r="F331" s="1" t="s">
        <v>2014</v>
      </c>
      <c r="G331" s="1" t="s">
        <v>1190</v>
      </c>
      <c r="H331" s="1" t="s">
        <v>359</v>
      </c>
      <c r="I331" s="1" t="s">
        <v>19</v>
      </c>
      <c r="J331" s="1" t="s">
        <v>1362</v>
      </c>
      <c r="K331" s="1" t="s">
        <v>1190</v>
      </c>
      <c r="L331" s="1" t="s">
        <v>1191</v>
      </c>
      <c r="M331" s="1" t="s">
        <v>22</v>
      </c>
      <c r="N331" s="1" t="s">
        <v>118</v>
      </c>
      <c r="O331" s="1" t="s">
        <v>23</v>
      </c>
      <c r="P331" s="1" t="s">
        <v>41</v>
      </c>
      <c r="Q331" s="1" t="s">
        <v>42</v>
      </c>
      <c r="R331" s="1" t="s">
        <v>1192</v>
      </c>
      <c r="S331" s="75">
        <v>44531</v>
      </c>
      <c r="T331" s="1">
        <v>0</v>
      </c>
      <c r="U331" s="1" t="s">
        <v>1193</v>
      </c>
      <c r="V331" s="1" t="s">
        <v>36</v>
      </c>
      <c r="W331" s="1"/>
      <c r="X331" s="1"/>
      <c r="Y331" s="1"/>
      <c r="Z331" s="1" t="s">
        <v>1836</v>
      </c>
      <c r="AA331" s="75">
        <v>45510</v>
      </c>
      <c r="AB331" s="75">
        <v>45536</v>
      </c>
      <c r="AC331" s="88">
        <v>740000</v>
      </c>
      <c r="AD331" s="88">
        <v>30012200</v>
      </c>
    </row>
    <row r="332" spans="1:30" ht="17.399999999999999" customHeight="1" x14ac:dyDescent="0.4">
      <c r="A332" s="29">
        <v>329</v>
      </c>
      <c r="B332" s="29" t="str">
        <f t="shared" si="20"/>
        <v>331</v>
      </c>
      <c r="C332" s="29" t="str">
        <f t="shared" si="21"/>
        <v>L</v>
      </c>
      <c r="D332" s="29" t="str">
        <f t="shared" si="22"/>
        <v>B</v>
      </c>
      <c r="E332" s="29" t="str">
        <f t="shared" si="23"/>
        <v>H</v>
      </c>
      <c r="F332" s="1" t="s">
        <v>1959</v>
      </c>
      <c r="G332" s="1" t="s">
        <v>1836</v>
      </c>
      <c r="H332" s="1" t="s">
        <v>1693</v>
      </c>
      <c r="I332" s="1" t="s">
        <v>736</v>
      </c>
      <c r="J332" s="1" t="s">
        <v>31</v>
      </c>
      <c r="K332" s="1" t="s">
        <v>1707</v>
      </c>
      <c r="L332" s="1" t="s">
        <v>1358</v>
      </c>
      <c r="M332" s="1" t="s">
        <v>22</v>
      </c>
      <c r="N332" s="1" t="s">
        <v>1886</v>
      </c>
      <c r="O332" s="1" t="s">
        <v>129</v>
      </c>
      <c r="P332" s="1" t="s">
        <v>948</v>
      </c>
      <c r="Q332" s="1" t="s">
        <v>527</v>
      </c>
      <c r="R332" s="1" t="s">
        <v>1196</v>
      </c>
      <c r="S332" s="75">
        <v>45516</v>
      </c>
      <c r="T332" s="1">
        <v>0</v>
      </c>
      <c r="U332" s="1"/>
      <c r="V332" s="1" t="s">
        <v>36</v>
      </c>
      <c r="W332" s="1"/>
      <c r="X332" s="1"/>
      <c r="Y332" s="1"/>
      <c r="Z332" s="1" t="s">
        <v>1836</v>
      </c>
      <c r="AA332" s="75">
        <v>45520</v>
      </c>
      <c r="AB332" s="75">
        <v>45729</v>
      </c>
      <c r="AC332" s="88">
        <v>0</v>
      </c>
      <c r="AD332" s="88">
        <v>15000000</v>
      </c>
    </row>
    <row r="333" spans="1:30" x14ac:dyDescent="0.4">
      <c r="A333" s="29">
        <v>330</v>
      </c>
      <c r="B333" s="29" t="str">
        <f t="shared" si="20"/>
        <v>332</v>
      </c>
      <c r="C333" s="29" t="str">
        <f t="shared" si="21"/>
        <v>C</v>
      </c>
      <c r="D333" s="29" t="str">
        <f t="shared" si="22"/>
        <v>B</v>
      </c>
      <c r="E333" s="29" t="str">
        <f t="shared" si="23"/>
        <v>F</v>
      </c>
      <c r="F333" s="1" t="s">
        <v>1197</v>
      </c>
      <c r="G333" s="1" t="s">
        <v>1198</v>
      </c>
      <c r="H333" s="1" t="s">
        <v>359</v>
      </c>
      <c r="I333" s="1" t="s">
        <v>19</v>
      </c>
      <c r="J333" s="1" t="s">
        <v>1362</v>
      </c>
      <c r="K333" s="1" t="s">
        <v>1199</v>
      </c>
      <c r="L333" s="1" t="s">
        <v>1200</v>
      </c>
      <c r="M333" s="1" t="s">
        <v>22</v>
      </c>
      <c r="N333" s="1" t="s">
        <v>118</v>
      </c>
      <c r="O333" s="1" t="s">
        <v>33</v>
      </c>
      <c r="P333" s="1" t="s">
        <v>24</v>
      </c>
      <c r="Q333" s="1" t="s">
        <v>34</v>
      </c>
      <c r="R333" s="1" t="s">
        <v>1201</v>
      </c>
      <c r="S333" s="75">
        <v>45530</v>
      </c>
      <c r="T333" s="1">
        <v>0</v>
      </c>
      <c r="U333" s="1"/>
      <c r="V333" s="1" t="s">
        <v>27</v>
      </c>
      <c r="W333" s="1" t="s">
        <v>1848</v>
      </c>
      <c r="X333" s="1" t="s">
        <v>359</v>
      </c>
      <c r="Y333" s="1" t="s">
        <v>1839</v>
      </c>
      <c r="Z333" s="1" t="s">
        <v>1836</v>
      </c>
      <c r="AA333" s="75">
        <v>45533</v>
      </c>
      <c r="AB333" s="75">
        <v>45536</v>
      </c>
      <c r="AC333" s="88">
        <v>858500</v>
      </c>
      <c r="AD333" s="88">
        <v>32920000</v>
      </c>
    </row>
    <row r="334" spans="1:30" ht="17.399999999999999" customHeight="1" x14ac:dyDescent="0.4">
      <c r="A334" s="29">
        <v>331</v>
      </c>
      <c r="B334" s="29" t="str">
        <f t="shared" si="20"/>
        <v>333</v>
      </c>
      <c r="C334" s="29" t="str">
        <f t="shared" si="21"/>
        <v>C</v>
      </c>
      <c r="D334" s="29" t="str">
        <f t="shared" si="22"/>
        <v>B</v>
      </c>
      <c r="E334" s="29" t="str">
        <f t="shared" si="23"/>
        <v>F</v>
      </c>
      <c r="F334" s="1" t="s">
        <v>1202</v>
      </c>
      <c r="G334" s="1" t="s">
        <v>1198</v>
      </c>
      <c r="H334" s="1" t="s">
        <v>359</v>
      </c>
      <c r="I334" s="1" t="s">
        <v>19</v>
      </c>
      <c r="J334" s="1" t="s">
        <v>1362</v>
      </c>
      <c r="K334" s="1" t="s">
        <v>1199</v>
      </c>
      <c r="L334" s="1" t="s">
        <v>1203</v>
      </c>
      <c r="M334" s="1" t="s">
        <v>22</v>
      </c>
      <c r="N334" s="1" t="s">
        <v>81</v>
      </c>
      <c r="O334" s="1" t="s">
        <v>33</v>
      </c>
      <c r="P334" s="1" t="s">
        <v>24</v>
      </c>
      <c r="Q334" s="1" t="s">
        <v>749</v>
      </c>
      <c r="R334" s="1" t="s">
        <v>1204</v>
      </c>
      <c r="S334" s="75">
        <v>45530</v>
      </c>
      <c r="T334" s="1">
        <v>0</v>
      </c>
      <c r="U334" s="1"/>
      <c r="V334" s="1" t="s">
        <v>27</v>
      </c>
      <c r="W334" s="1" t="s">
        <v>1848</v>
      </c>
      <c r="X334" s="1" t="s">
        <v>359</v>
      </c>
      <c r="Y334" s="1" t="s">
        <v>1839</v>
      </c>
      <c r="Z334" s="1" t="s">
        <v>1836</v>
      </c>
      <c r="AA334" s="75">
        <v>45533</v>
      </c>
      <c r="AB334" s="75">
        <v>45536</v>
      </c>
      <c r="AC334" s="88">
        <v>798500</v>
      </c>
      <c r="AD334" s="88">
        <v>30200000</v>
      </c>
    </row>
    <row r="335" spans="1:30" ht="17.399999999999999" customHeight="1" x14ac:dyDescent="0.4">
      <c r="A335" s="29">
        <v>332</v>
      </c>
      <c r="B335" s="29" t="str">
        <f t="shared" si="20"/>
        <v>334</v>
      </c>
      <c r="C335" s="29" t="str">
        <f t="shared" si="21"/>
        <v>C</v>
      </c>
      <c r="D335" s="29" t="str">
        <f t="shared" si="22"/>
        <v>B</v>
      </c>
      <c r="E335" s="29" t="str">
        <f t="shared" si="23"/>
        <v>F</v>
      </c>
      <c r="F335" s="1" t="s">
        <v>1205</v>
      </c>
      <c r="G335" s="1" t="s">
        <v>1198</v>
      </c>
      <c r="H335" s="1" t="s">
        <v>359</v>
      </c>
      <c r="I335" s="1" t="s">
        <v>19</v>
      </c>
      <c r="J335" s="1" t="s">
        <v>1362</v>
      </c>
      <c r="K335" s="1" t="s">
        <v>1199</v>
      </c>
      <c r="L335" s="1" t="s">
        <v>1206</v>
      </c>
      <c r="M335" s="1" t="s">
        <v>22</v>
      </c>
      <c r="N335" s="1" t="s">
        <v>81</v>
      </c>
      <c r="O335" s="1" t="s">
        <v>33</v>
      </c>
      <c r="P335" s="1" t="s">
        <v>24</v>
      </c>
      <c r="Q335" s="1" t="s">
        <v>749</v>
      </c>
      <c r="R335" s="1" t="s">
        <v>1207</v>
      </c>
      <c r="S335" s="75">
        <v>45530</v>
      </c>
      <c r="T335" s="1">
        <v>0</v>
      </c>
      <c r="U335" s="1"/>
      <c r="V335" s="1" t="s">
        <v>27</v>
      </c>
      <c r="W335" s="1" t="s">
        <v>1848</v>
      </c>
      <c r="X335" s="1" t="s">
        <v>359</v>
      </c>
      <c r="Y335" s="1" t="s">
        <v>1839</v>
      </c>
      <c r="Z335" s="1" t="s">
        <v>1836</v>
      </c>
      <c r="AA335" s="75">
        <v>45533</v>
      </c>
      <c r="AB335" s="75">
        <v>45536</v>
      </c>
      <c r="AC335" s="88">
        <v>798500</v>
      </c>
      <c r="AD335" s="88">
        <v>30200000</v>
      </c>
    </row>
    <row r="336" spans="1:30" ht="17.399999999999999" customHeight="1" x14ac:dyDescent="0.4">
      <c r="A336" s="29">
        <v>333</v>
      </c>
      <c r="B336" s="29" t="str">
        <f t="shared" si="20"/>
        <v>335</v>
      </c>
      <c r="C336" s="29" t="str">
        <f t="shared" si="21"/>
        <v>C</v>
      </c>
      <c r="D336" s="29" t="str">
        <f t="shared" si="22"/>
        <v>B</v>
      </c>
      <c r="E336" s="29" t="str">
        <f t="shared" si="23"/>
        <v>F</v>
      </c>
      <c r="F336" s="1" t="s">
        <v>1208</v>
      </c>
      <c r="G336" s="1" t="s">
        <v>656</v>
      </c>
      <c r="H336" s="1" t="s">
        <v>359</v>
      </c>
      <c r="I336" s="1" t="s">
        <v>19</v>
      </c>
      <c r="J336" s="1" t="s">
        <v>31</v>
      </c>
      <c r="K336" s="1" t="s">
        <v>1960</v>
      </c>
      <c r="L336" s="1" t="s">
        <v>1209</v>
      </c>
      <c r="M336" s="1" t="s">
        <v>22</v>
      </c>
      <c r="N336" s="1" t="s">
        <v>81</v>
      </c>
      <c r="O336" s="1" t="s">
        <v>33</v>
      </c>
      <c r="P336" s="1" t="s">
        <v>24</v>
      </c>
      <c r="Q336" s="1" t="s">
        <v>749</v>
      </c>
      <c r="R336" s="1" t="s">
        <v>1210</v>
      </c>
      <c r="S336" s="75">
        <v>42278</v>
      </c>
      <c r="T336" s="1">
        <v>2267</v>
      </c>
      <c r="U336" s="1"/>
      <c r="V336" s="1" t="s">
        <v>36</v>
      </c>
      <c r="W336" s="1"/>
      <c r="X336" s="1"/>
      <c r="Y336" s="1"/>
      <c r="Z336" s="1" t="s">
        <v>1836</v>
      </c>
      <c r="AA336" s="75">
        <v>45572</v>
      </c>
      <c r="AB336" s="75">
        <v>45566</v>
      </c>
      <c r="AC336" s="88">
        <v>430000</v>
      </c>
      <c r="AD336" s="88">
        <v>14300000</v>
      </c>
    </row>
    <row r="337" spans="1:30" x14ac:dyDescent="0.4">
      <c r="A337" s="29">
        <v>334</v>
      </c>
      <c r="B337" s="29" t="str">
        <f t="shared" si="20"/>
        <v>336</v>
      </c>
      <c r="C337" s="29" t="str">
        <f t="shared" si="21"/>
        <v>L</v>
      </c>
      <c r="D337" s="29" t="str">
        <f t="shared" si="22"/>
        <v>B</v>
      </c>
      <c r="E337" s="29" t="str">
        <f t="shared" si="23"/>
        <v>T</v>
      </c>
      <c r="F337" s="1" t="s">
        <v>1211</v>
      </c>
      <c r="G337" s="1" t="s">
        <v>486</v>
      </c>
      <c r="H337" s="1" t="s">
        <v>45</v>
      </c>
      <c r="I337" s="1" t="s">
        <v>19</v>
      </c>
      <c r="J337" s="1" t="s">
        <v>39</v>
      </c>
      <c r="K337" s="1" t="s">
        <v>982</v>
      </c>
      <c r="L337" s="1" t="s">
        <v>1212</v>
      </c>
      <c r="M337" s="1" t="s">
        <v>220</v>
      </c>
      <c r="N337" s="1" t="s">
        <v>1876</v>
      </c>
      <c r="O337" s="1" t="s">
        <v>1213</v>
      </c>
      <c r="P337" s="1" t="s">
        <v>948</v>
      </c>
      <c r="Q337" s="1" t="s">
        <v>1214</v>
      </c>
      <c r="R337" s="1" t="s">
        <v>1215</v>
      </c>
      <c r="S337" s="75">
        <v>45573</v>
      </c>
      <c r="T337" s="1">
        <v>0</v>
      </c>
      <c r="U337" s="1"/>
      <c r="V337" s="1" t="s">
        <v>27</v>
      </c>
      <c r="W337" s="1" t="s">
        <v>1848</v>
      </c>
      <c r="X337" s="1" t="s">
        <v>1836</v>
      </c>
      <c r="Y337" s="1" t="s">
        <v>1855</v>
      </c>
      <c r="Z337" s="1" t="s">
        <v>1836</v>
      </c>
      <c r="AA337" s="75">
        <v>45586</v>
      </c>
      <c r="AB337" s="75">
        <v>45579</v>
      </c>
      <c r="AC337" s="88">
        <v>652000</v>
      </c>
      <c r="AD337" s="88">
        <v>14600000</v>
      </c>
    </row>
    <row r="338" spans="1:30" x14ac:dyDescent="0.4">
      <c r="A338" s="29">
        <v>335</v>
      </c>
      <c r="B338" s="29" t="str">
        <f t="shared" si="20"/>
        <v>337</v>
      </c>
      <c r="C338" s="29" t="str">
        <f t="shared" si="21"/>
        <v>L</v>
      </c>
      <c r="D338" s="29" t="str">
        <f t="shared" si="22"/>
        <v>B</v>
      </c>
      <c r="E338" s="29" t="str">
        <f t="shared" si="23"/>
        <v>T</v>
      </c>
      <c r="F338" s="1" t="s">
        <v>1216</v>
      </c>
      <c r="G338" s="1" t="s">
        <v>486</v>
      </c>
      <c r="H338" s="1" t="s">
        <v>45</v>
      </c>
      <c r="I338" s="1" t="s">
        <v>19</v>
      </c>
      <c r="J338" s="1" t="s">
        <v>39</v>
      </c>
      <c r="K338" s="1" t="s">
        <v>1217</v>
      </c>
      <c r="L338" s="1" t="s">
        <v>1218</v>
      </c>
      <c r="M338" s="1" t="s">
        <v>220</v>
      </c>
      <c r="N338" s="1" t="s">
        <v>1876</v>
      </c>
      <c r="O338" s="1" t="s">
        <v>1213</v>
      </c>
      <c r="P338" s="1" t="s">
        <v>948</v>
      </c>
      <c r="Q338" s="1" t="s">
        <v>1214</v>
      </c>
      <c r="R338" s="1" t="s">
        <v>1219</v>
      </c>
      <c r="S338" s="75">
        <v>45573</v>
      </c>
      <c r="T338" s="1">
        <v>0</v>
      </c>
      <c r="U338" s="1"/>
      <c r="V338" s="1" t="s">
        <v>27</v>
      </c>
      <c r="W338" s="1" t="s">
        <v>1848</v>
      </c>
      <c r="X338" s="1" t="s">
        <v>1836</v>
      </c>
      <c r="Y338" s="1" t="s">
        <v>1855</v>
      </c>
      <c r="Z338" s="1" t="s">
        <v>1836</v>
      </c>
      <c r="AA338" s="75">
        <v>45586</v>
      </c>
      <c r="AB338" s="75">
        <v>45579</v>
      </c>
      <c r="AC338" s="88">
        <v>652000</v>
      </c>
      <c r="AD338" s="88">
        <v>14600000</v>
      </c>
    </row>
    <row r="339" spans="1:30" x14ac:dyDescent="0.4">
      <c r="A339" s="29">
        <v>336</v>
      </c>
      <c r="B339" s="29" t="str">
        <f t="shared" si="20"/>
        <v>338</v>
      </c>
      <c r="C339" s="29" t="str">
        <f t="shared" si="21"/>
        <v>L</v>
      </c>
      <c r="D339" s="29" t="str">
        <f t="shared" si="22"/>
        <v>B</v>
      </c>
      <c r="E339" s="29" t="str">
        <f t="shared" si="23"/>
        <v>T</v>
      </c>
      <c r="F339" s="1" t="s">
        <v>1220</v>
      </c>
      <c r="G339" s="1" t="s">
        <v>486</v>
      </c>
      <c r="H339" s="1" t="s">
        <v>45</v>
      </c>
      <c r="I339" s="1" t="s">
        <v>19</v>
      </c>
      <c r="J339" s="1" t="s">
        <v>39</v>
      </c>
      <c r="K339" s="1" t="s">
        <v>1221</v>
      </c>
      <c r="L339" s="1" t="s">
        <v>1222</v>
      </c>
      <c r="M339" s="1" t="s">
        <v>220</v>
      </c>
      <c r="N339" s="1" t="s">
        <v>1876</v>
      </c>
      <c r="O339" s="1" t="s">
        <v>1213</v>
      </c>
      <c r="P339" s="1" t="s">
        <v>948</v>
      </c>
      <c r="Q339" s="1" t="s">
        <v>1214</v>
      </c>
      <c r="R339" s="1" t="s">
        <v>1223</v>
      </c>
      <c r="S339" s="75">
        <v>45595</v>
      </c>
      <c r="T339" s="1">
        <v>0</v>
      </c>
      <c r="U339" s="1"/>
      <c r="V339" s="1" t="s">
        <v>36</v>
      </c>
      <c r="W339" s="1"/>
      <c r="X339" s="1"/>
      <c r="Y339" s="1"/>
      <c r="Z339" s="1" t="s">
        <v>1836</v>
      </c>
      <c r="AA339" s="75">
        <v>45595</v>
      </c>
      <c r="AB339" s="75">
        <v>45597</v>
      </c>
      <c r="AC339" s="88">
        <v>622000</v>
      </c>
      <c r="AD339" s="88">
        <v>14600000</v>
      </c>
    </row>
    <row r="340" spans="1:30" ht="17.399999999999999" customHeight="1" x14ac:dyDescent="0.4">
      <c r="A340" s="29">
        <v>337</v>
      </c>
      <c r="B340" s="29" t="str">
        <f t="shared" si="20"/>
        <v>339</v>
      </c>
      <c r="C340" s="29" t="str">
        <f t="shared" si="21"/>
        <v>D</v>
      </c>
      <c r="D340" s="29" t="str">
        <f t="shared" si="22"/>
        <v>O</v>
      </c>
      <c r="E340" s="29" t="str">
        <f t="shared" si="23"/>
        <v>F</v>
      </c>
      <c r="F340" s="1" t="s">
        <v>1224</v>
      </c>
      <c r="G340" s="1" t="s">
        <v>259</v>
      </c>
      <c r="H340" s="1" t="s">
        <v>265</v>
      </c>
      <c r="I340" s="1" t="s">
        <v>19</v>
      </c>
      <c r="J340" s="1" t="s">
        <v>31</v>
      </c>
      <c r="K340" s="1" t="s">
        <v>271</v>
      </c>
      <c r="L340" s="1" t="s">
        <v>1225</v>
      </c>
      <c r="M340" s="1" t="s">
        <v>220</v>
      </c>
      <c r="N340" s="1" t="s">
        <v>118</v>
      </c>
      <c r="O340" s="1" t="s">
        <v>262</v>
      </c>
      <c r="P340" s="1" t="s">
        <v>41</v>
      </c>
      <c r="Q340" s="1" t="s">
        <v>1226</v>
      </c>
      <c r="R340" s="1" t="s">
        <v>1227</v>
      </c>
      <c r="S340" s="75">
        <v>45609</v>
      </c>
      <c r="T340" s="1">
        <v>0</v>
      </c>
      <c r="U340" s="1" t="s">
        <v>1228</v>
      </c>
      <c r="V340" s="1" t="s">
        <v>36</v>
      </c>
      <c r="W340" s="1"/>
      <c r="X340" s="1"/>
      <c r="Y340" s="1"/>
      <c r="Z340" s="1" t="s">
        <v>1836</v>
      </c>
      <c r="AA340" s="75">
        <v>45609</v>
      </c>
      <c r="AB340" s="75">
        <v>45609</v>
      </c>
      <c r="AC340" s="88">
        <v>6000000</v>
      </c>
      <c r="AD340" s="88">
        <v>170990100</v>
      </c>
    </row>
    <row r="341" spans="1:30" x14ac:dyDescent="0.4">
      <c r="A341" s="29">
        <v>338</v>
      </c>
      <c r="B341" s="29" t="str">
        <f t="shared" si="20"/>
        <v>340</v>
      </c>
      <c r="C341" s="29" t="str">
        <f t="shared" si="21"/>
        <v>C</v>
      </c>
      <c r="D341" s="29" t="str">
        <f t="shared" si="22"/>
        <v>B</v>
      </c>
      <c r="E341" s="29" t="str">
        <f t="shared" si="23"/>
        <v>F</v>
      </c>
      <c r="F341" s="1" t="s">
        <v>1229</v>
      </c>
      <c r="G341" s="1" t="s">
        <v>101</v>
      </c>
      <c r="H341" s="1" t="s">
        <v>101</v>
      </c>
      <c r="I341" s="1" t="s">
        <v>19</v>
      </c>
      <c r="J341" s="1" t="s">
        <v>1362</v>
      </c>
      <c r="K341" s="1" t="s">
        <v>101</v>
      </c>
      <c r="L341" s="1" t="s">
        <v>1230</v>
      </c>
      <c r="M341" s="1" t="s">
        <v>22</v>
      </c>
      <c r="N341" s="1" t="s">
        <v>81</v>
      </c>
      <c r="O341" s="1" t="s">
        <v>33</v>
      </c>
      <c r="P341" s="1" t="s">
        <v>24</v>
      </c>
      <c r="Q341" s="1" t="s">
        <v>749</v>
      </c>
      <c r="R341" s="1" t="s">
        <v>1231</v>
      </c>
      <c r="S341" s="75">
        <v>43466</v>
      </c>
      <c r="T341" s="1">
        <v>4165</v>
      </c>
      <c r="U341" s="1"/>
      <c r="V341" s="1" t="s">
        <v>36</v>
      </c>
      <c r="W341" s="1"/>
      <c r="X341" s="1"/>
      <c r="Y341" s="1"/>
      <c r="Z341" s="1" t="s">
        <v>1836</v>
      </c>
      <c r="AA341" s="75">
        <v>45610</v>
      </c>
      <c r="AB341" s="75">
        <v>45639</v>
      </c>
      <c r="AC341" s="88">
        <v>400000</v>
      </c>
      <c r="AD341" s="88">
        <v>9800000</v>
      </c>
    </row>
    <row r="342" spans="1:30" x14ac:dyDescent="0.4">
      <c r="A342" s="29">
        <v>339</v>
      </c>
      <c r="B342" s="29" t="str">
        <f t="shared" si="20"/>
        <v>341</v>
      </c>
      <c r="C342" s="29" t="str">
        <f t="shared" si="21"/>
        <v>L</v>
      </c>
      <c r="D342" s="29" t="str">
        <f t="shared" si="22"/>
        <v>B</v>
      </c>
      <c r="E342" s="29" t="str">
        <f t="shared" si="23"/>
        <v>T</v>
      </c>
      <c r="F342" s="1" t="s">
        <v>1232</v>
      </c>
      <c r="G342" s="1" t="s">
        <v>486</v>
      </c>
      <c r="H342" s="1" t="s">
        <v>45</v>
      </c>
      <c r="I342" s="1" t="s">
        <v>19</v>
      </c>
      <c r="J342" s="1" t="s">
        <v>39</v>
      </c>
      <c r="K342" s="1" t="s">
        <v>1233</v>
      </c>
      <c r="L342" s="1" t="s">
        <v>1234</v>
      </c>
      <c r="M342" s="1" t="s">
        <v>220</v>
      </c>
      <c r="N342" s="1" t="s">
        <v>1876</v>
      </c>
      <c r="O342" s="1" t="s">
        <v>1213</v>
      </c>
      <c r="P342" s="1" t="s">
        <v>948</v>
      </c>
      <c r="Q342" s="1" t="s">
        <v>1214</v>
      </c>
      <c r="R342" s="1" t="s">
        <v>1235</v>
      </c>
      <c r="S342" s="75">
        <v>45583</v>
      </c>
      <c r="T342" s="1">
        <v>0</v>
      </c>
      <c r="U342" s="1"/>
      <c r="V342" s="1" t="s">
        <v>36</v>
      </c>
      <c r="W342" s="1"/>
      <c r="X342" s="1"/>
      <c r="Y342" s="1"/>
      <c r="Z342" s="1" t="s">
        <v>1836</v>
      </c>
      <c r="AA342" s="75">
        <v>45621</v>
      </c>
      <c r="AB342" s="75">
        <v>45627</v>
      </c>
      <c r="AC342" s="88">
        <v>622000</v>
      </c>
      <c r="AD342" s="88">
        <v>13600000</v>
      </c>
    </row>
    <row r="343" spans="1:30" ht="17.399999999999999" customHeight="1" x14ac:dyDescent="0.4">
      <c r="A343" s="29">
        <v>340</v>
      </c>
      <c r="B343" s="29" t="str">
        <f t="shared" si="20"/>
        <v>342</v>
      </c>
      <c r="C343" s="29" t="str">
        <f t="shared" si="21"/>
        <v>D</v>
      </c>
      <c r="D343" s="29" t="str">
        <f t="shared" si="22"/>
        <v>O</v>
      </c>
      <c r="E343" s="29" t="str">
        <f t="shared" si="23"/>
        <v>F</v>
      </c>
      <c r="F343" s="1" t="s">
        <v>1236</v>
      </c>
      <c r="G343" s="1" t="s">
        <v>259</v>
      </c>
      <c r="H343" s="1" t="s">
        <v>265</v>
      </c>
      <c r="I343" s="1" t="s">
        <v>19</v>
      </c>
      <c r="J343" s="1" t="s">
        <v>31</v>
      </c>
      <c r="K343" s="1" t="s">
        <v>260</v>
      </c>
      <c r="L343" s="1" t="s">
        <v>1865</v>
      </c>
      <c r="M343" s="1" t="s">
        <v>22</v>
      </c>
      <c r="N343" s="1" t="s">
        <v>118</v>
      </c>
      <c r="O343" s="1" t="s">
        <v>262</v>
      </c>
      <c r="P343" s="1" t="s">
        <v>41</v>
      </c>
      <c r="Q343" s="1" t="s">
        <v>829</v>
      </c>
      <c r="R343" s="1" t="s">
        <v>1241</v>
      </c>
      <c r="S343" s="75">
        <v>45616</v>
      </c>
      <c r="T343" s="1">
        <v>0</v>
      </c>
      <c r="U343" s="1" t="s">
        <v>1242</v>
      </c>
      <c r="V343" s="1" t="s">
        <v>36</v>
      </c>
      <c r="W343" s="1"/>
      <c r="X343" s="1"/>
      <c r="Y343" s="1"/>
      <c r="Z343" s="1" t="s">
        <v>1836</v>
      </c>
      <c r="AA343" s="75">
        <v>45616</v>
      </c>
      <c r="AB343" s="75">
        <v>45962</v>
      </c>
      <c r="AC343" s="88">
        <v>6000000</v>
      </c>
      <c r="AD343" s="88">
        <v>167340000</v>
      </c>
    </row>
    <row r="344" spans="1:30" ht="17.399999999999999" customHeight="1" x14ac:dyDescent="0.4">
      <c r="A344" s="29">
        <v>341</v>
      </c>
      <c r="B344" s="29" t="str">
        <f t="shared" si="20"/>
        <v>343</v>
      </c>
      <c r="C344" s="29" t="str">
        <f t="shared" si="21"/>
        <v>D</v>
      </c>
      <c r="D344" s="29" t="str">
        <f t="shared" si="22"/>
        <v>O</v>
      </c>
      <c r="E344" s="29" t="str">
        <f t="shared" si="23"/>
        <v>F</v>
      </c>
      <c r="F344" s="1" t="s">
        <v>1240</v>
      </c>
      <c r="G344" s="1" t="s">
        <v>259</v>
      </c>
      <c r="H344" s="1" t="s">
        <v>265</v>
      </c>
      <c r="I344" s="1" t="s">
        <v>19</v>
      </c>
      <c r="J344" s="1" t="s">
        <v>31</v>
      </c>
      <c r="K344" s="1" t="s">
        <v>260</v>
      </c>
      <c r="L344" s="1" t="s">
        <v>1787</v>
      </c>
      <c r="M344" s="1" t="s">
        <v>22</v>
      </c>
      <c r="N344" s="1" t="s">
        <v>118</v>
      </c>
      <c r="O344" s="1" t="s">
        <v>262</v>
      </c>
      <c r="P344" s="1" t="s">
        <v>41</v>
      </c>
      <c r="Q344" s="1" t="s">
        <v>829</v>
      </c>
      <c r="R344" s="1" t="s">
        <v>1238</v>
      </c>
      <c r="S344" s="75">
        <v>45616</v>
      </c>
      <c r="T344" s="1">
        <v>0</v>
      </c>
      <c r="U344" s="1" t="s">
        <v>1239</v>
      </c>
      <c r="V344" s="1" t="s">
        <v>36</v>
      </c>
      <c r="W344" s="1"/>
      <c r="X344" s="1"/>
      <c r="Y344" s="1"/>
      <c r="Z344" s="1" t="s">
        <v>1836</v>
      </c>
      <c r="AA344" s="75">
        <v>45616</v>
      </c>
      <c r="AB344" s="75">
        <v>45931</v>
      </c>
      <c r="AC344" s="88">
        <v>6000000</v>
      </c>
      <c r="AD344" s="88">
        <v>167340000</v>
      </c>
    </row>
    <row r="345" spans="1:30" x14ac:dyDescent="0.4">
      <c r="A345" s="29">
        <v>342</v>
      </c>
      <c r="B345" s="29" t="str">
        <f t="shared" si="20"/>
        <v>344</v>
      </c>
      <c r="C345" s="29" t="str">
        <f t="shared" si="21"/>
        <v>T</v>
      </c>
      <c r="D345" s="29" t="str">
        <f t="shared" si="22"/>
        <v>B</v>
      </c>
      <c r="E345" s="29" t="str">
        <f t="shared" si="23"/>
        <v>F</v>
      </c>
      <c r="F345" s="1" t="s">
        <v>1243</v>
      </c>
      <c r="G345" s="1" t="s">
        <v>1734</v>
      </c>
      <c r="H345" s="1" t="s">
        <v>1734</v>
      </c>
      <c r="I345" s="1" t="s">
        <v>19</v>
      </c>
      <c r="J345" s="1" t="s">
        <v>31</v>
      </c>
      <c r="K345" s="1" t="s">
        <v>1244</v>
      </c>
      <c r="L345" s="1" t="s">
        <v>1245</v>
      </c>
      <c r="M345" s="1" t="s">
        <v>22</v>
      </c>
      <c r="N345" s="1" t="s">
        <v>118</v>
      </c>
      <c r="O345" s="1" t="s">
        <v>33</v>
      </c>
      <c r="P345" s="1" t="s">
        <v>124</v>
      </c>
      <c r="Q345" s="1" t="s">
        <v>1246</v>
      </c>
      <c r="R345" s="1" t="s">
        <v>1247</v>
      </c>
      <c r="S345" s="75">
        <v>42948</v>
      </c>
      <c r="T345" s="1">
        <v>5030</v>
      </c>
      <c r="U345" s="1"/>
      <c r="V345" s="1" t="s">
        <v>36</v>
      </c>
      <c r="W345" s="1"/>
      <c r="X345" s="1"/>
      <c r="Y345" s="1"/>
      <c r="Z345" s="1" t="s">
        <v>1836</v>
      </c>
      <c r="AA345" s="75">
        <v>45629</v>
      </c>
      <c r="AB345" s="75">
        <v>45631</v>
      </c>
      <c r="AC345" s="88">
        <v>490000</v>
      </c>
      <c r="AD345" s="88">
        <v>16702000</v>
      </c>
    </row>
    <row r="346" spans="1:30" x14ac:dyDescent="0.4">
      <c r="A346" s="29">
        <v>343</v>
      </c>
      <c r="B346" s="29" t="str">
        <f t="shared" si="20"/>
        <v>345</v>
      </c>
      <c r="C346" s="29" t="str">
        <f t="shared" si="21"/>
        <v>D</v>
      </c>
      <c r="D346" s="29" t="str">
        <f t="shared" si="22"/>
        <v>B</v>
      </c>
      <c r="E346" s="29" t="str">
        <f t="shared" si="23"/>
        <v>F</v>
      </c>
      <c r="F346" s="1" t="s">
        <v>1248</v>
      </c>
      <c r="G346" s="1" t="s">
        <v>392</v>
      </c>
      <c r="H346" s="1" t="s">
        <v>392</v>
      </c>
      <c r="I346" s="1" t="s">
        <v>19</v>
      </c>
      <c r="J346" s="1" t="s">
        <v>1362</v>
      </c>
      <c r="K346" s="1" t="s">
        <v>392</v>
      </c>
      <c r="L346" s="1" t="s">
        <v>1249</v>
      </c>
      <c r="M346" s="1" t="s">
        <v>22</v>
      </c>
      <c r="N346" s="1" t="s">
        <v>118</v>
      </c>
      <c r="O346" s="1" t="s">
        <v>23</v>
      </c>
      <c r="P346" s="1" t="s">
        <v>41</v>
      </c>
      <c r="Q346" s="1" t="s">
        <v>297</v>
      </c>
      <c r="R346" s="1" t="s">
        <v>1250</v>
      </c>
      <c r="S346" s="75">
        <v>39083</v>
      </c>
      <c r="T346" s="1">
        <v>29759</v>
      </c>
      <c r="U346" s="1"/>
      <c r="V346" s="1" t="s">
        <v>36</v>
      </c>
      <c r="W346" s="1"/>
      <c r="X346" s="1"/>
      <c r="Y346" s="1"/>
      <c r="Z346" s="1" t="s">
        <v>1836</v>
      </c>
      <c r="AA346" s="75">
        <v>45656</v>
      </c>
      <c r="AB346" s="75">
        <v>45658</v>
      </c>
      <c r="AC346" s="88">
        <v>550000</v>
      </c>
      <c r="AD346" s="88">
        <v>11500000</v>
      </c>
    </row>
    <row r="347" spans="1:30" x14ac:dyDescent="0.4">
      <c r="A347" s="29">
        <v>344</v>
      </c>
      <c r="B347" s="29" t="str">
        <f t="shared" si="20"/>
        <v>346</v>
      </c>
      <c r="C347" s="29" t="str">
        <f t="shared" si="21"/>
        <v>D</v>
      </c>
      <c r="D347" s="29" t="str">
        <f t="shared" si="22"/>
        <v>B</v>
      </c>
      <c r="E347" s="29" t="str">
        <f t="shared" si="23"/>
        <v>F</v>
      </c>
      <c r="F347" s="1" t="s">
        <v>1251</v>
      </c>
      <c r="G347" s="1" t="s">
        <v>392</v>
      </c>
      <c r="H347" s="1" t="s">
        <v>392</v>
      </c>
      <c r="I347" s="1" t="s">
        <v>19</v>
      </c>
      <c r="J347" s="1" t="s">
        <v>1362</v>
      </c>
      <c r="K347" s="1" t="s">
        <v>392</v>
      </c>
      <c r="L347" s="1" t="s">
        <v>1252</v>
      </c>
      <c r="M347" s="1" t="s">
        <v>22</v>
      </c>
      <c r="N347" s="1" t="s">
        <v>118</v>
      </c>
      <c r="O347" s="1" t="s">
        <v>23</v>
      </c>
      <c r="P347" s="1" t="s">
        <v>41</v>
      </c>
      <c r="Q347" s="1" t="s">
        <v>297</v>
      </c>
      <c r="R347" s="1" t="s">
        <v>1253</v>
      </c>
      <c r="S347" s="75">
        <v>42370</v>
      </c>
      <c r="T347" s="1">
        <v>10547</v>
      </c>
      <c r="U347" s="1"/>
      <c r="V347" s="1" t="s">
        <v>36</v>
      </c>
      <c r="W347" s="1"/>
      <c r="X347" s="1"/>
      <c r="Y347" s="1"/>
      <c r="Z347" s="1" t="s">
        <v>1836</v>
      </c>
      <c r="AA347" s="75">
        <v>45656</v>
      </c>
      <c r="AB347" s="75">
        <v>45658</v>
      </c>
      <c r="AC347" s="88">
        <v>550000</v>
      </c>
      <c r="AD347" s="88">
        <v>14000000</v>
      </c>
    </row>
    <row r="348" spans="1:30" ht="17.399999999999999" customHeight="1" x14ac:dyDescent="0.4">
      <c r="A348" s="29">
        <v>345</v>
      </c>
      <c r="B348" s="29" t="str">
        <f t="shared" si="20"/>
        <v>347</v>
      </c>
      <c r="C348" s="29" t="str">
        <f t="shared" si="21"/>
        <v>D</v>
      </c>
      <c r="D348" s="29" t="str">
        <f t="shared" si="22"/>
        <v>O</v>
      </c>
      <c r="E348" s="29" t="str">
        <f t="shared" si="23"/>
        <v>F</v>
      </c>
      <c r="F348" s="1" t="s">
        <v>1254</v>
      </c>
      <c r="G348" s="1" t="s">
        <v>392</v>
      </c>
      <c r="H348" s="1" t="s">
        <v>392</v>
      </c>
      <c r="I348" s="1" t="s">
        <v>19</v>
      </c>
      <c r="J348" s="1" t="s">
        <v>1362</v>
      </c>
      <c r="K348" s="1" t="s">
        <v>392</v>
      </c>
      <c r="L348" s="1" t="s">
        <v>1255</v>
      </c>
      <c r="M348" s="1" t="s">
        <v>22</v>
      </c>
      <c r="N348" s="1" t="s">
        <v>118</v>
      </c>
      <c r="O348" s="1" t="s">
        <v>23</v>
      </c>
      <c r="P348" s="1" t="s">
        <v>41</v>
      </c>
      <c r="Q348" s="1" t="s">
        <v>86</v>
      </c>
      <c r="R348" s="1" t="s">
        <v>1256</v>
      </c>
      <c r="S348" s="75">
        <v>40179</v>
      </c>
      <c r="T348" s="1">
        <v>12022</v>
      </c>
      <c r="U348" s="1" t="s">
        <v>1257</v>
      </c>
      <c r="V348" s="1" t="s">
        <v>36</v>
      </c>
      <c r="W348" s="1"/>
      <c r="X348" s="1"/>
      <c r="Y348" s="1"/>
      <c r="Z348" s="1" t="s">
        <v>1836</v>
      </c>
      <c r="AA348" s="75">
        <v>45656</v>
      </c>
      <c r="AB348" s="75">
        <v>45658</v>
      </c>
      <c r="AC348" s="88">
        <v>600000</v>
      </c>
      <c r="AD348" s="88">
        <v>2611570</v>
      </c>
    </row>
    <row r="349" spans="1:30" x14ac:dyDescent="0.4">
      <c r="A349" s="29">
        <v>346</v>
      </c>
      <c r="B349" s="29" t="str">
        <f t="shared" si="20"/>
        <v>348</v>
      </c>
      <c r="C349" s="29" t="str">
        <f t="shared" si="21"/>
        <v>H</v>
      </c>
      <c r="D349" s="29" t="str">
        <f t="shared" si="22"/>
        <v>B</v>
      </c>
      <c r="E349" s="29" t="str">
        <f t="shared" si="23"/>
        <v>F</v>
      </c>
      <c r="F349" s="1" t="s">
        <v>1258</v>
      </c>
      <c r="G349" s="1" t="s">
        <v>1259</v>
      </c>
      <c r="H349" s="1" t="s">
        <v>45</v>
      </c>
      <c r="I349" s="1" t="s">
        <v>19</v>
      </c>
      <c r="J349" s="1" t="s">
        <v>1719</v>
      </c>
      <c r="K349" s="1" t="s">
        <v>1260</v>
      </c>
      <c r="L349" s="1" t="s">
        <v>1261</v>
      </c>
      <c r="M349" s="1" t="s">
        <v>22</v>
      </c>
      <c r="N349" s="1" t="s">
        <v>118</v>
      </c>
      <c r="O349" s="1" t="s">
        <v>254</v>
      </c>
      <c r="P349" s="1" t="s">
        <v>223</v>
      </c>
      <c r="Q349" s="1" t="s">
        <v>1262</v>
      </c>
      <c r="R349" s="1" t="s">
        <v>1263</v>
      </c>
      <c r="S349" s="75">
        <v>44044</v>
      </c>
      <c r="T349" s="1">
        <v>0</v>
      </c>
      <c r="U349" s="1"/>
      <c r="V349" s="1" t="s">
        <v>27</v>
      </c>
      <c r="W349" s="1" t="s">
        <v>1830</v>
      </c>
      <c r="X349" s="1" t="s">
        <v>1836</v>
      </c>
      <c r="Y349" s="1" t="s">
        <v>45</v>
      </c>
      <c r="Z349" s="1" t="s">
        <v>1836</v>
      </c>
      <c r="AA349" s="75">
        <v>45656</v>
      </c>
      <c r="AB349" s="75">
        <v>45658</v>
      </c>
      <c r="AC349" s="88">
        <v>892000</v>
      </c>
      <c r="AD349" s="88">
        <v>39500000</v>
      </c>
    </row>
    <row r="350" spans="1:30" x14ac:dyDescent="0.4">
      <c r="A350" s="29">
        <v>347</v>
      </c>
      <c r="B350" s="29" t="str">
        <f t="shared" si="20"/>
        <v>349</v>
      </c>
      <c r="C350" s="29" t="str">
        <f t="shared" si="21"/>
        <v>H</v>
      </c>
      <c r="D350" s="29" t="str">
        <f t="shared" si="22"/>
        <v>B</v>
      </c>
      <c r="E350" s="29" t="str">
        <f t="shared" si="23"/>
        <v>F</v>
      </c>
      <c r="F350" s="1" t="s">
        <v>1264</v>
      </c>
      <c r="G350" s="1" t="s">
        <v>1259</v>
      </c>
      <c r="H350" s="1" t="s">
        <v>45</v>
      </c>
      <c r="I350" s="1" t="s">
        <v>19</v>
      </c>
      <c r="J350" s="1" t="s">
        <v>1719</v>
      </c>
      <c r="K350" s="1" t="s">
        <v>1194</v>
      </c>
      <c r="L350" s="1" t="s">
        <v>1265</v>
      </c>
      <c r="M350" s="1" t="s">
        <v>22</v>
      </c>
      <c r="N350" s="1" t="s">
        <v>118</v>
      </c>
      <c r="O350" s="1" t="s">
        <v>254</v>
      </c>
      <c r="P350" s="1" t="s">
        <v>223</v>
      </c>
      <c r="Q350" s="1" t="s">
        <v>1262</v>
      </c>
      <c r="R350" s="1" t="s">
        <v>1266</v>
      </c>
      <c r="S350" s="75">
        <v>43770</v>
      </c>
      <c r="T350" s="1">
        <v>0</v>
      </c>
      <c r="U350" s="1"/>
      <c r="V350" s="1" t="s">
        <v>27</v>
      </c>
      <c r="W350" s="1" t="s">
        <v>1830</v>
      </c>
      <c r="X350" s="1" t="s">
        <v>1836</v>
      </c>
      <c r="Y350" s="1" t="s">
        <v>1961</v>
      </c>
      <c r="Z350" s="1" t="s">
        <v>1836</v>
      </c>
      <c r="AA350" s="75">
        <v>45656</v>
      </c>
      <c r="AB350" s="75">
        <v>45658</v>
      </c>
      <c r="AC350" s="88">
        <v>892000</v>
      </c>
      <c r="AD350" s="88">
        <v>29500000</v>
      </c>
    </row>
    <row r="351" spans="1:30" x14ac:dyDescent="0.4">
      <c r="A351" s="29">
        <v>348</v>
      </c>
      <c r="B351" s="29" t="str">
        <f t="shared" si="20"/>
        <v>350</v>
      </c>
      <c r="C351" s="29" t="str">
        <f t="shared" si="21"/>
        <v>T</v>
      </c>
      <c r="D351" s="29" t="str">
        <f t="shared" si="22"/>
        <v>B</v>
      </c>
      <c r="E351" s="29" t="str">
        <f t="shared" si="23"/>
        <v>F</v>
      </c>
      <c r="F351" s="1" t="s">
        <v>1369</v>
      </c>
      <c r="G351" s="1" t="s">
        <v>1259</v>
      </c>
      <c r="H351" s="1" t="s">
        <v>45</v>
      </c>
      <c r="I351" s="1" t="s">
        <v>19</v>
      </c>
      <c r="J351" s="1" t="s">
        <v>1719</v>
      </c>
      <c r="K351" s="1" t="s">
        <v>1267</v>
      </c>
      <c r="L351" s="1" t="s">
        <v>1268</v>
      </c>
      <c r="M351" s="1" t="s">
        <v>22</v>
      </c>
      <c r="N351" s="1" t="s">
        <v>118</v>
      </c>
      <c r="O351" s="1" t="s">
        <v>33</v>
      </c>
      <c r="P351" s="1" t="s">
        <v>124</v>
      </c>
      <c r="Q351" s="1" t="s">
        <v>181</v>
      </c>
      <c r="R351" s="1" t="s">
        <v>1269</v>
      </c>
      <c r="S351" s="75">
        <v>39417</v>
      </c>
      <c r="T351" s="1">
        <v>0</v>
      </c>
      <c r="U351" s="1"/>
      <c r="V351" s="1" t="s">
        <v>27</v>
      </c>
      <c r="W351" s="1" t="s">
        <v>1830</v>
      </c>
      <c r="X351" s="1" t="s">
        <v>1836</v>
      </c>
      <c r="Y351" s="1" t="s">
        <v>1962</v>
      </c>
      <c r="Z351" s="1" t="s">
        <v>1836</v>
      </c>
      <c r="AA351" s="75">
        <v>45656</v>
      </c>
      <c r="AB351" s="75">
        <v>45658</v>
      </c>
      <c r="AC351" s="88">
        <v>592000</v>
      </c>
      <c r="AD351" s="88">
        <v>6300000</v>
      </c>
    </row>
    <row r="352" spans="1:30" x14ac:dyDescent="0.4">
      <c r="A352" s="29">
        <v>349</v>
      </c>
      <c r="B352" s="29" t="str">
        <f t="shared" si="20"/>
        <v>351</v>
      </c>
      <c r="C352" s="29" t="str">
        <f t="shared" si="21"/>
        <v>T</v>
      </c>
      <c r="D352" s="29" t="str">
        <f t="shared" si="22"/>
        <v>B</v>
      </c>
      <c r="E352" s="29" t="str">
        <f t="shared" si="23"/>
        <v>F</v>
      </c>
      <c r="F352" s="1" t="s">
        <v>1270</v>
      </c>
      <c r="G352" s="1" t="s">
        <v>1259</v>
      </c>
      <c r="H352" s="1" t="s">
        <v>45</v>
      </c>
      <c r="I352" s="1" t="s">
        <v>19</v>
      </c>
      <c r="J352" s="1" t="s">
        <v>1719</v>
      </c>
      <c r="K352" s="1" t="s">
        <v>1194</v>
      </c>
      <c r="L352" s="1" t="s">
        <v>1271</v>
      </c>
      <c r="M352" s="1" t="s">
        <v>22</v>
      </c>
      <c r="N352" s="1" t="s">
        <v>81</v>
      </c>
      <c r="O352" s="1" t="s">
        <v>62</v>
      </c>
      <c r="P352" s="1" t="s">
        <v>124</v>
      </c>
      <c r="Q352" s="1" t="s">
        <v>1272</v>
      </c>
      <c r="R352" s="1" t="s">
        <v>1273</v>
      </c>
      <c r="S352" s="75">
        <v>42644</v>
      </c>
      <c r="T352" s="1">
        <v>0</v>
      </c>
      <c r="U352" s="1"/>
      <c r="V352" s="1" t="s">
        <v>27</v>
      </c>
      <c r="W352" s="1" t="s">
        <v>1830</v>
      </c>
      <c r="X352" s="1" t="s">
        <v>1836</v>
      </c>
      <c r="Y352" s="1" t="s">
        <v>1259</v>
      </c>
      <c r="Z352" s="1" t="s">
        <v>1836</v>
      </c>
      <c r="AA352" s="75">
        <v>45656</v>
      </c>
      <c r="AB352" s="75">
        <v>45658</v>
      </c>
      <c r="AC352" s="88">
        <v>442000</v>
      </c>
      <c r="AD352" s="88">
        <v>6700000</v>
      </c>
    </row>
    <row r="353" spans="1:30" x14ac:dyDescent="0.4">
      <c r="A353" s="29">
        <v>350</v>
      </c>
      <c r="B353" s="29" t="str">
        <f t="shared" si="20"/>
        <v>352</v>
      </c>
      <c r="C353" s="29" t="str">
        <f t="shared" si="21"/>
        <v>D</v>
      </c>
      <c r="D353" s="29" t="str">
        <f t="shared" si="22"/>
        <v>B</v>
      </c>
      <c r="E353" s="29" t="str">
        <f t="shared" si="23"/>
        <v>F</v>
      </c>
      <c r="F353" s="1" t="s">
        <v>1274</v>
      </c>
      <c r="G353" s="1" t="s">
        <v>1259</v>
      </c>
      <c r="H353" s="1" t="s">
        <v>45</v>
      </c>
      <c r="I353" s="1" t="s">
        <v>19</v>
      </c>
      <c r="J353" s="1" t="s">
        <v>1719</v>
      </c>
      <c r="K353" s="1" t="s">
        <v>1275</v>
      </c>
      <c r="L353" s="1" t="s">
        <v>1276</v>
      </c>
      <c r="M353" s="1" t="s">
        <v>22</v>
      </c>
      <c r="N353" s="1" t="s">
        <v>118</v>
      </c>
      <c r="O353" s="1" t="s">
        <v>23</v>
      </c>
      <c r="P353" s="1" t="s">
        <v>41</v>
      </c>
      <c r="Q353" s="1" t="s">
        <v>310</v>
      </c>
      <c r="R353" s="1" t="s">
        <v>1277</v>
      </c>
      <c r="S353" s="75">
        <v>44774</v>
      </c>
      <c r="T353" s="1">
        <v>0</v>
      </c>
      <c r="U353" s="1"/>
      <c r="V353" s="1" t="s">
        <v>27</v>
      </c>
      <c r="W353" s="1" t="s">
        <v>1830</v>
      </c>
      <c r="X353" s="1" t="s">
        <v>1836</v>
      </c>
      <c r="Y353" s="1" t="s">
        <v>45</v>
      </c>
      <c r="Z353" s="1" t="s">
        <v>1836</v>
      </c>
      <c r="AA353" s="75">
        <v>45656</v>
      </c>
      <c r="AB353" s="75">
        <v>45658</v>
      </c>
      <c r="AC353" s="88">
        <v>592000</v>
      </c>
      <c r="AD353" s="88">
        <v>27500000</v>
      </c>
    </row>
    <row r="354" spans="1:30" x14ac:dyDescent="0.4">
      <c r="A354" s="29">
        <v>351</v>
      </c>
      <c r="B354" s="29" t="str">
        <f t="shared" si="20"/>
        <v>353</v>
      </c>
      <c r="C354" s="29" t="str">
        <f t="shared" si="21"/>
        <v>D</v>
      </c>
      <c r="D354" s="29" t="str">
        <f t="shared" si="22"/>
        <v>B</v>
      </c>
      <c r="E354" s="29" t="str">
        <f t="shared" si="23"/>
        <v>F</v>
      </c>
      <c r="F354" s="1" t="s">
        <v>1278</v>
      </c>
      <c r="G354" s="1" t="s">
        <v>1259</v>
      </c>
      <c r="H354" s="1" t="s">
        <v>45</v>
      </c>
      <c r="I354" s="1" t="s">
        <v>19</v>
      </c>
      <c r="J354" s="1" t="s">
        <v>1719</v>
      </c>
      <c r="K354" s="1" t="s">
        <v>1279</v>
      </c>
      <c r="L354" s="1" t="s">
        <v>1280</v>
      </c>
      <c r="M354" s="1" t="s">
        <v>22</v>
      </c>
      <c r="N354" s="1" t="s">
        <v>118</v>
      </c>
      <c r="O354" s="1" t="s">
        <v>23</v>
      </c>
      <c r="P354" s="1" t="s">
        <v>41</v>
      </c>
      <c r="Q354" s="1" t="s">
        <v>310</v>
      </c>
      <c r="R354" s="1" t="s">
        <v>1281</v>
      </c>
      <c r="S354" s="75">
        <v>44774</v>
      </c>
      <c r="T354" s="1">
        <v>0</v>
      </c>
      <c r="U354" s="1"/>
      <c r="V354" s="1" t="s">
        <v>27</v>
      </c>
      <c r="W354" s="1" t="s">
        <v>1830</v>
      </c>
      <c r="X354" s="1" t="s">
        <v>1836</v>
      </c>
      <c r="Y354" s="1" t="s">
        <v>45</v>
      </c>
      <c r="Z354" s="1" t="s">
        <v>1836</v>
      </c>
      <c r="AA354" s="75">
        <v>45656</v>
      </c>
      <c r="AB354" s="75">
        <v>45658</v>
      </c>
      <c r="AC354" s="88">
        <v>592000</v>
      </c>
      <c r="AD354" s="88">
        <v>27400000</v>
      </c>
    </row>
    <row r="355" spans="1:30" x14ac:dyDescent="0.4">
      <c r="A355" s="29">
        <v>352</v>
      </c>
      <c r="B355" s="29" t="str">
        <f t="shared" si="20"/>
        <v>354</v>
      </c>
      <c r="C355" s="29" t="str">
        <f t="shared" si="21"/>
        <v>D</v>
      </c>
      <c r="D355" s="29" t="str">
        <f t="shared" si="22"/>
        <v>B</v>
      </c>
      <c r="E355" s="29" t="str">
        <f t="shared" si="23"/>
        <v>F</v>
      </c>
      <c r="F355" s="1" t="s">
        <v>1282</v>
      </c>
      <c r="G355" s="1" t="s">
        <v>1259</v>
      </c>
      <c r="H355" s="1" t="s">
        <v>45</v>
      </c>
      <c r="I355" s="1" t="s">
        <v>19</v>
      </c>
      <c r="J355" s="1" t="s">
        <v>1719</v>
      </c>
      <c r="K355" s="1" t="s">
        <v>1194</v>
      </c>
      <c r="L355" s="1" t="s">
        <v>1283</v>
      </c>
      <c r="M355" s="1" t="s">
        <v>22</v>
      </c>
      <c r="N355" s="1" t="s">
        <v>118</v>
      </c>
      <c r="O355" s="1" t="s">
        <v>23</v>
      </c>
      <c r="P355" s="1" t="s">
        <v>41</v>
      </c>
      <c r="Q355" s="1" t="s">
        <v>310</v>
      </c>
      <c r="R355" s="1" t="s">
        <v>1284</v>
      </c>
      <c r="S355" s="75">
        <v>44927</v>
      </c>
      <c r="T355" s="1">
        <v>0</v>
      </c>
      <c r="U355" s="1"/>
      <c r="V355" s="1" t="s">
        <v>27</v>
      </c>
      <c r="W355" s="1" t="s">
        <v>1830</v>
      </c>
      <c r="X355" s="1" t="s">
        <v>1836</v>
      </c>
      <c r="Y355" s="1" t="s">
        <v>45</v>
      </c>
      <c r="Z355" s="1" t="s">
        <v>1836</v>
      </c>
      <c r="AA355" s="75">
        <v>45656</v>
      </c>
      <c r="AB355" s="75">
        <v>45658</v>
      </c>
      <c r="AC355" s="88">
        <v>592000</v>
      </c>
      <c r="AD355" s="88">
        <v>33100000</v>
      </c>
    </row>
    <row r="356" spans="1:30" ht="17.399999999999999" customHeight="1" x14ac:dyDescent="0.4">
      <c r="A356" s="29">
        <v>353</v>
      </c>
      <c r="B356" s="29" t="str">
        <f t="shared" si="20"/>
        <v>355</v>
      </c>
      <c r="C356" s="29" t="str">
        <f t="shared" si="21"/>
        <v>D</v>
      </c>
      <c r="D356" s="29" t="str">
        <f t="shared" si="22"/>
        <v>O</v>
      </c>
      <c r="E356" s="29" t="str">
        <f t="shared" si="23"/>
        <v>F</v>
      </c>
      <c r="F356" s="1" t="s">
        <v>1285</v>
      </c>
      <c r="G356" s="1" t="s">
        <v>47</v>
      </c>
      <c r="H356" s="1" t="s">
        <v>1692</v>
      </c>
      <c r="I356" s="1" t="s">
        <v>19</v>
      </c>
      <c r="J356" s="1" t="s">
        <v>487</v>
      </c>
      <c r="K356" s="1" t="s">
        <v>48</v>
      </c>
      <c r="L356" s="1" t="s">
        <v>1286</v>
      </c>
      <c r="M356" s="1" t="s">
        <v>22</v>
      </c>
      <c r="N356" s="1" t="s">
        <v>118</v>
      </c>
      <c r="O356" s="1" t="s">
        <v>333</v>
      </c>
      <c r="P356" s="1" t="s">
        <v>41</v>
      </c>
      <c r="Q356" s="1" t="s">
        <v>459</v>
      </c>
      <c r="R356" s="1" t="s">
        <v>1287</v>
      </c>
      <c r="S356" s="75">
        <v>39273</v>
      </c>
      <c r="T356" s="1">
        <v>0</v>
      </c>
      <c r="U356" s="1" t="s">
        <v>1288</v>
      </c>
      <c r="V356" s="1" t="s">
        <v>27</v>
      </c>
      <c r="W356" s="1" t="s">
        <v>1830</v>
      </c>
      <c r="X356" s="1" t="s">
        <v>1836</v>
      </c>
      <c r="Y356" s="1" t="s">
        <v>1692</v>
      </c>
      <c r="Z356" s="1" t="s">
        <v>1836</v>
      </c>
      <c r="AA356" s="75">
        <v>45709</v>
      </c>
      <c r="AB356" s="75">
        <v>45717</v>
      </c>
      <c r="AC356" s="88">
        <v>1000000</v>
      </c>
      <c r="AD356" s="88">
        <v>10419200</v>
      </c>
    </row>
    <row r="357" spans="1:30" x14ac:dyDescent="0.4">
      <c r="A357" s="29">
        <v>354</v>
      </c>
      <c r="B357" s="29" t="str">
        <f t="shared" si="20"/>
        <v>356</v>
      </c>
      <c r="C357" s="29" t="str">
        <f t="shared" si="21"/>
        <v>T</v>
      </c>
      <c r="D357" s="29" t="str">
        <f t="shared" si="22"/>
        <v>B</v>
      </c>
      <c r="E357" s="29" t="str">
        <f t="shared" si="23"/>
        <v>F</v>
      </c>
      <c r="F357" s="1" t="s">
        <v>1289</v>
      </c>
      <c r="G357" s="1" t="s">
        <v>656</v>
      </c>
      <c r="H357" s="1" t="s">
        <v>359</v>
      </c>
      <c r="I357" s="1" t="s">
        <v>19</v>
      </c>
      <c r="J357" s="1" t="s">
        <v>31</v>
      </c>
      <c r="K357" s="1" t="s">
        <v>1910</v>
      </c>
      <c r="L357" s="1" t="s">
        <v>1290</v>
      </c>
      <c r="M357" s="1" t="s">
        <v>22</v>
      </c>
      <c r="N357" s="1" t="s">
        <v>118</v>
      </c>
      <c r="O357" s="1" t="s">
        <v>33</v>
      </c>
      <c r="P357" s="1" t="s">
        <v>124</v>
      </c>
      <c r="Q357" s="1" t="s">
        <v>1246</v>
      </c>
      <c r="R357" s="1" t="s">
        <v>1291</v>
      </c>
      <c r="S357" s="75">
        <v>42736</v>
      </c>
      <c r="T357" s="1">
        <v>8603</v>
      </c>
      <c r="U357" s="1"/>
      <c r="V357" s="1" t="s">
        <v>36</v>
      </c>
      <c r="W357" s="1"/>
      <c r="X357" s="1"/>
      <c r="Y357" s="1"/>
      <c r="Z357" s="1" t="s">
        <v>1836</v>
      </c>
      <c r="AA357" s="75">
        <v>45712</v>
      </c>
      <c r="AB357" s="75">
        <v>45717</v>
      </c>
      <c r="AC357" s="88">
        <v>500000</v>
      </c>
      <c r="AD357" s="88">
        <v>15200000</v>
      </c>
    </row>
    <row r="358" spans="1:30" ht="17.399999999999999" customHeight="1" x14ac:dyDescent="0.4">
      <c r="A358" s="29">
        <v>355</v>
      </c>
      <c r="B358" s="29" t="str">
        <f t="shared" si="20"/>
        <v>357</v>
      </c>
      <c r="C358" s="29" t="str">
        <f t="shared" si="21"/>
        <v>D</v>
      </c>
      <c r="D358" s="29" t="str">
        <f t="shared" si="22"/>
        <v>O</v>
      </c>
      <c r="E358" s="29" t="str">
        <f t="shared" si="23"/>
        <v>F</v>
      </c>
      <c r="F358" s="1" t="s">
        <v>1292</v>
      </c>
      <c r="G358" s="1" t="s">
        <v>47</v>
      </c>
      <c r="H358" s="1" t="s">
        <v>1692</v>
      </c>
      <c r="I358" s="1" t="s">
        <v>19</v>
      </c>
      <c r="J358" s="1" t="s">
        <v>487</v>
      </c>
      <c r="K358" s="1" t="s">
        <v>48</v>
      </c>
      <c r="L358" s="1" t="s">
        <v>1293</v>
      </c>
      <c r="M358" s="1" t="s">
        <v>22</v>
      </c>
      <c r="N358" s="1" t="s">
        <v>118</v>
      </c>
      <c r="O358" s="1" t="s">
        <v>23</v>
      </c>
      <c r="P358" s="1" t="s">
        <v>41</v>
      </c>
      <c r="Q358" s="1" t="s">
        <v>811</v>
      </c>
      <c r="R358" s="1" t="s">
        <v>1294</v>
      </c>
      <c r="S358" s="75">
        <v>45715</v>
      </c>
      <c r="T358" s="1">
        <v>0</v>
      </c>
      <c r="U358" s="1" t="s">
        <v>1372</v>
      </c>
      <c r="V358" s="1" t="s">
        <v>27</v>
      </c>
      <c r="W358" s="1" t="s">
        <v>1830</v>
      </c>
      <c r="X358" s="1" t="s">
        <v>1836</v>
      </c>
      <c r="Y358" s="1" t="s">
        <v>1692</v>
      </c>
      <c r="Z358" s="1" t="s">
        <v>1836</v>
      </c>
      <c r="AA358" s="75">
        <v>45716</v>
      </c>
      <c r="AB358" s="75">
        <v>45717</v>
      </c>
      <c r="AC358" s="88">
        <v>900000</v>
      </c>
      <c r="AD358" s="88">
        <v>44169890</v>
      </c>
    </row>
    <row r="359" spans="1:30" ht="17.399999999999999" customHeight="1" x14ac:dyDescent="0.4">
      <c r="A359" s="29">
        <v>356</v>
      </c>
      <c r="B359" s="29" t="str">
        <f t="shared" si="20"/>
        <v>358</v>
      </c>
      <c r="C359" s="29" t="str">
        <f t="shared" si="21"/>
        <v>D</v>
      </c>
      <c r="D359" s="29" t="str">
        <f t="shared" si="22"/>
        <v>O</v>
      </c>
      <c r="E359" s="29" t="str">
        <f t="shared" si="23"/>
        <v>F</v>
      </c>
      <c r="F359" s="1" t="s">
        <v>1295</v>
      </c>
      <c r="G359" s="1" t="s">
        <v>47</v>
      </c>
      <c r="H359" s="1" t="s">
        <v>1692</v>
      </c>
      <c r="I359" s="1" t="s">
        <v>19</v>
      </c>
      <c r="J359" s="1" t="s">
        <v>487</v>
      </c>
      <c r="K359" s="1" t="s">
        <v>48</v>
      </c>
      <c r="L359" s="1" t="s">
        <v>1296</v>
      </c>
      <c r="M359" s="1" t="s">
        <v>22</v>
      </c>
      <c r="N359" s="1" t="s">
        <v>118</v>
      </c>
      <c r="O359" s="1" t="s">
        <v>23</v>
      </c>
      <c r="P359" s="1" t="s">
        <v>41</v>
      </c>
      <c r="Q359" s="1" t="s">
        <v>811</v>
      </c>
      <c r="R359" s="1" t="s">
        <v>1297</v>
      </c>
      <c r="S359" s="75">
        <v>45715</v>
      </c>
      <c r="T359" s="1">
        <v>0</v>
      </c>
      <c r="U359" s="1" t="s">
        <v>1373</v>
      </c>
      <c r="V359" s="1" t="s">
        <v>27</v>
      </c>
      <c r="W359" s="1" t="s">
        <v>1830</v>
      </c>
      <c r="X359" s="1" t="s">
        <v>1836</v>
      </c>
      <c r="Y359" s="1" t="s">
        <v>1692</v>
      </c>
      <c r="Z359" s="1" t="s">
        <v>1836</v>
      </c>
      <c r="AA359" s="75">
        <v>45716</v>
      </c>
      <c r="AB359" s="75">
        <v>45717</v>
      </c>
      <c r="AC359" s="88">
        <v>900000</v>
      </c>
      <c r="AD359" s="88">
        <v>44169890</v>
      </c>
    </row>
    <row r="360" spans="1:30" ht="17.399999999999999" customHeight="1" x14ac:dyDescent="0.4">
      <c r="A360" s="29">
        <v>357</v>
      </c>
      <c r="B360" s="29" t="str">
        <f t="shared" si="20"/>
        <v>359</v>
      </c>
      <c r="C360" s="29" t="str">
        <f t="shared" si="21"/>
        <v>L</v>
      </c>
      <c r="D360" s="29" t="str">
        <f t="shared" si="22"/>
        <v>B</v>
      </c>
      <c r="E360" s="29" t="str">
        <f t="shared" si="23"/>
        <v>H</v>
      </c>
      <c r="F360" s="1" t="s">
        <v>1963</v>
      </c>
      <c r="G360" s="1" t="s">
        <v>486</v>
      </c>
      <c r="H360" s="1" t="s">
        <v>45</v>
      </c>
      <c r="I360" s="1" t="s">
        <v>19</v>
      </c>
      <c r="J360" s="1" t="s">
        <v>39</v>
      </c>
      <c r="K360" s="1" t="s">
        <v>1298</v>
      </c>
      <c r="L360" s="1" t="s">
        <v>1299</v>
      </c>
      <c r="M360" s="1" t="s">
        <v>220</v>
      </c>
      <c r="N360" s="1" t="s">
        <v>1886</v>
      </c>
      <c r="O360" s="1" t="s">
        <v>531</v>
      </c>
      <c r="P360" s="1" t="s">
        <v>948</v>
      </c>
      <c r="Q360" s="1" t="s">
        <v>1157</v>
      </c>
      <c r="R360" s="1" t="s">
        <v>1300</v>
      </c>
      <c r="S360" s="75">
        <v>45726</v>
      </c>
      <c r="T360" s="1">
        <v>0</v>
      </c>
      <c r="U360" s="1"/>
      <c r="V360" s="1" t="s">
        <v>36</v>
      </c>
      <c r="W360" s="1"/>
      <c r="X360" s="1"/>
      <c r="Y360" s="1"/>
      <c r="Z360" s="1" t="s">
        <v>1836</v>
      </c>
      <c r="AA360" s="75">
        <v>45726</v>
      </c>
      <c r="AB360" s="75">
        <v>45726</v>
      </c>
      <c r="AC360" s="88">
        <v>500000</v>
      </c>
      <c r="AD360" s="88">
        <v>13800000</v>
      </c>
    </row>
    <row r="361" spans="1:30" x14ac:dyDescent="0.4">
      <c r="A361" s="29">
        <v>358</v>
      </c>
      <c r="B361" s="29" t="str">
        <f t="shared" ref="B361:B365" si="24">MID(F361,8,3)</f>
        <v>360</v>
      </c>
      <c r="C361" s="29" t="str">
        <f t="shared" ref="C361:C365" si="25">MID(F361,1,1)</f>
        <v>D</v>
      </c>
      <c r="D361" s="29" t="str">
        <f t="shared" ref="D361:D365" si="26">MID(F361,3,1)</f>
        <v>B</v>
      </c>
      <c r="E361" s="29" t="str">
        <f t="shared" ref="E361:E365" si="27">MID(F361,2,1)</f>
        <v>F</v>
      </c>
      <c r="F361" s="1" t="s">
        <v>1746</v>
      </c>
      <c r="G361" s="1" t="s">
        <v>1731</v>
      </c>
      <c r="H361" s="1" t="s">
        <v>359</v>
      </c>
      <c r="I361" s="1" t="s">
        <v>19</v>
      </c>
      <c r="J361" s="1" t="s">
        <v>1362</v>
      </c>
      <c r="K361" s="1" t="s">
        <v>439</v>
      </c>
      <c r="L361" s="1" t="s">
        <v>1370</v>
      </c>
      <c r="M361" s="1" t="s">
        <v>22</v>
      </c>
      <c r="N361" s="1" t="s">
        <v>118</v>
      </c>
      <c r="O361" s="1" t="s">
        <v>33</v>
      </c>
      <c r="P361" s="1" t="s">
        <v>41</v>
      </c>
      <c r="Q361" s="1" t="s">
        <v>424</v>
      </c>
      <c r="R361" s="1" t="s">
        <v>1371</v>
      </c>
      <c r="S361" s="75">
        <v>45765</v>
      </c>
      <c r="T361" s="1">
        <v>0</v>
      </c>
      <c r="U361" s="1"/>
      <c r="V361" s="1" t="s">
        <v>27</v>
      </c>
      <c r="W361" s="1" t="s">
        <v>1830</v>
      </c>
      <c r="X361" s="1" t="s">
        <v>1836</v>
      </c>
      <c r="Y361" s="1" t="s">
        <v>1856</v>
      </c>
      <c r="Z361" s="1" t="s">
        <v>1836</v>
      </c>
      <c r="AA361" s="75">
        <v>45771</v>
      </c>
      <c r="AB361" s="75">
        <v>45778</v>
      </c>
      <c r="AC361" s="88">
        <v>895000</v>
      </c>
      <c r="AD361" s="88">
        <v>34160000</v>
      </c>
    </row>
    <row r="362" spans="1:30" ht="17.399999999999999" customHeight="1" x14ac:dyDescent="0.4">
      <c r="A362" s="29">
        <v>359</v>
      </c>
      <c r="B362" s="29" t="str">
        <f t="shared" si="24"/>
        <v>361</v>
      </c>
      <c r="C362" s="29" t="str">
        <f t="shared" si="25"/>
        <v>N</v>
      </c>
      <c r="D362" s="29" t="str">
        <f t="shared" si="26"/>
        <v>B</v>
      </c>
      <c r="E362" s="29" t="str">
        <f t="shared" si="27"/>
        <v>S</v>
      </c>
      <c r="F362" s="1" t="s">
        <v>1964</v>
      </c>
      <c r="G362" s="1" t="s">
        <v>872</v>
      </c>
      <c r="H362" s="1" t="s">
        <v>45</v>
      </c>
      <c r="I362" s="1" t="s">
        <v>19</v>
      </c>
      <c r="J362" s="1" t="s">
        <v>1362</v>
      </c>
      <c r="K362" s="1" t="s">
        <v>872</v>
      </c>
      <c r="L362" s="1" t="s">
        <v>1374</v>
      </c>
      <c r="M362" s="1" t="s">
        <v>22</v>
      </c>
      <c r="N362" s="1" t="s">
        <v>1965</v>
      </c>
      <c r="O362" s="1" t="s">
        <v>136</v>
      </c>
      <c r="P362" s="1" t="s">
        <v>1131</v>
      </c>
      <c r="Q362" s="1" t="s">
        <v>1375</v>
      </c>
      <c r="R362" s="1" t="s">
        <v>1697</v>
      </c>
      <c r="S362" s="75">
        <v>45791</v>
      </c>
      <c r="T362" s="1">
        <v>0</v>
      </c>
      <c r="U362" s="1"/>
      <c r="V362" s="1" t="s">
        <v>36</v>
      </c>
      <c r="W362" s="1"/>
      <c r="X362" s="1"/>
      <c r="Y362" s="1"/>
      <c r="Z362" s="1" t="s">
        <v>1836</v>
      </c>
      <c r="AA362" s="75">
        <v>45804</v>
      </c>
      <c r="AB362" s="75">
        <v>45809</v>
      </c>
      <c r="AC362" s="88">
        <v>1600000</v>
      </c>
      <c r="AD362" s="88">
        <v>76000000</v>
      </c>
    </row>
    <row r="363" spans="1:30" ht="17.399999999999999" customHeight="1" x14ac:dyDescent="0.4">
      <c r="A363" s="29">
        <v>360</v>
      </c>
      <c r="B363" s="29" t="str">
        <f t="shared" si="24"/>
        <v>362</v>
      </c>
      <c r="C363" s="29" t="str">
        <f t="shared" si="25"/>
        <v>D</v>
      </c>
      <c r="D363" s="29" t="str">
        <f t="shared" si="26"/>
        <v>O</v>
      </c>
      <c r="E363" s="29" t="str">
        <f t="shared" si="27"/>
        <v>F</v>
      </c>
      <c r="F363" s="1" t="s">
        <v>1376</v>
      </c>
      <c r="G363" s="1" t="s">
        <v>1377</v>
      </c>
      <c r="H363" s="1" t="s">
        <v>680</v>
      </c>
      <c r="I363" s="1" t="s">
        <v>19</v>
      </c>
      <c r="J363" s="1" t="s">
        <v>676</v>
      </c>
      <c r="K363" s="1" t="s">
        <v>1378</v>
      </c>
      <c r="L363" s="1" t="s">
        <v>1379</v>
      </c>
      <c r="M363" s="1" t="s">
        <v>22</v>
      </c>
      <c r="N363" s="1" t="s">
        <v>118</v>
      </c>
      <c r="O363" s="1" t="s">
        <v>1380</v>
      </c>
      <c r="P363" s="1" t="s">
        <v>41</v>
      </c>
      <c r="Q363" s="1" t="s">
        <v>1381</v>
      </c>
      <c r="R363" s="1" t="s">
        <v>1382</v>
      </c>
      <c r="S363" s="75">
        <v>45806</v>
      </c>
      <c r="T363" s="1">
        <v>0</v>
      </c>
      <c r="U363" s="1" t="s">
        <v>1422</v>
      </c>
      <c r="V363" s="1" t="s">
        <v>36</v>
      </c>
      <c r="W363" s="1"/>
      <c r="X363" s="1"/>
      <c r="Y363" s="1"/>
      <c r="Z363" s="1" t="s">
        <v>1836</v>
      </c>
      <c r="AA363" s="75">
        <v>45806</v>
      </c>
      <c r="AB363" s="75">
        <v>45809</v>
      </c>
      <c r="AC363" s="88">
        <v>2550000</v>
      </c>
      <c r="AD363" s="88">
        <v>170071300</v>
      </c>
    </row>
    <row r="364" spans="1:30" x14ac:dyDescent="0.4">
      <c r="A364" s="29">
        <v>361</v>
      </c>
      <c r="B364" s="29" t="str">
        <f t="shared" si="24"/>
        <v>363</v>
      </c>
      <c r="C364" s="29" t="str">
        <f t="shared" si="25"/>
        <v>C</v>
      </c>
      <c r="D364" s="29" t="str">
        <f t="shared" si="26"/>
        <v>B</v>
      </c>
      <c r="E364" s="29" t="str">
        <f t="shared" si="27"/>
        <v>F</v>
      </c>
      <c r="F364" s="1" t="s">
        <v>1383</v>
      </c>
      <c r="G364" s="1" t="s">
        <v>1377</v>
      </c>
      <c r="H364" s="1" t="s">
        <v>680</v>
      </c>
      <c r="I364" s="1" t="s">
        <v>19</v>
      </c>
      <c r="J364" s="1" t="s">
        <v>676</v>
      </c>
      <c r="K364" s="1" t="s">
        <v>1378</v>
      </c>
      <c r="L364" s="1" t="s">
        <v>1384</v>
      </c>
      <c r="M364" s="1" t="s">
        <v>22</v>
      </c>
      <c r="N364" s="1" t="s">
        <v>118</v>
      </c>
      <c r="O364" s="1" t="s">
        <v>23</v>
      </c>
      <c r="P364" s="1" t="s">
        <v>24</v>
      </c>
      <c r="Q364" s="1" t="s">
        <v>963</v>
      </c>
      <c r="R364" s="1" t="s">
        <v>1385</v>
      </c>
      <c r="S364" s="75">
        <v>45803</v>
      </c>
      <c r="T364" s="1">
        <v>0</v>
      </c>
      <c r="U364" s="1"/>
      <c r="V364" s="1" t="s">
        <v>36</v>
      </c>
      <c r="W364" s="1"/>
      <c r="X364" s="1"/>
      <c r="Y364" s="1"/>
      <c r="Z364" s="1" t="s">
        <v>1836</v>
      </c>
      <c r="AA364" s="75">
        <v>45806</v>
      </c>
      <c r="AB364" s="75">
        <v>45809</v>
      </c>
      <c r="AC364" s="88">
        <v>720000</v>
      </c>
      <c r="AD364" s="88">
        <v>38280000</v>
      </c>
    </row>
    <row r="365" spans="1:30" ht="17.399999999999999" customHeight="1" x14ac:dyDescent="0.4">
      <c r="A365" s="29">
        <v>362</v>
      </c>
      <c r="B365" s="29" t="str">
        <f t="shared" si="24"/>
        <v>364</v>
      </c>
      <c r="C365" s="29" t="str">
        <f t="shared" si="25"/>
        <v>C</v>
      </c>
      <c r="D365" s="29" t="str">
        <f t="shared" si="26"/>
        <v>O</v>
      </c>
      <c r="E365" s="29" t="str">
        <f t="shared" si="27"/>
        <v>F</v>
      </c>
      <c r="F365" s="1" t="s">
        <v>1386</v>
      </c>
      <c r="G365" s="1" t="s">
        <v>1377</v>
      </c>
      <c r="H365" s="1" t="s">
        <v>680</v>
      </c>
      <c r="I365" s="1" t="s">
        <v>19</v>
      </c>
      <c r="J365" s="1" t="s">
        <v>676</v>
      </c>
      <c r="K365" s="1" t="s">
        <v>1378</v>
      </c>
      <c r="L365" s="1" t="s">
        <v>1387</v>
      </c>
      <c r="M365" s="1" t="s">
        <v>22</v>
      </c>
      <c r="N365" s="1" t="s">
        <v>118</v>
      </c>
      <c r="O365" s="1" t="s">
        <v>254</v>
      </c>
      <c r="P365" s="1" t="s">
        <v>24</v>
      </c>
      <c r="Q365" s="1" t="s">
        <v>1388</v>
      </c>
      <c r="R365" s="1" t="s">
        <v>1389</v>
      </c>
      <c r="S365" s="75">
        <v>45803</v>
      </c>
      <c r="T365" s="1">
        <v>0</v>
      </c>
      <c r="U365" s="1" t="s">
        <v>1390</v>
      </c>
      <c r="V365" s="1" t="s">
        <v>36</v>
      </c>
      <c r="W365" s="1"/>
      <c r="X365" s="1"/>
      <c r="Y365" s="1"/>
      <c r="Z365" s="1" t="s">
        <v>1836</v>
      </c>
      <c r="AA365" s="75">
        <v>45806</v>
      </c>
      <c r="AB365" s="75">
        <v>45809</v>
      </c>
      <c r="AC365" s="88">
        <v>920000</v>
      </c>
      <c r="AD365" s="88">
        <v>60092660</v>
      </c>
    </row>
    <row r="366" spans="1:30" ht="17.399999999999999" customHeight="1" x14ac:dyDescent="0.4">
      <c r="A366" s="29">
        <v>363</v>
      </c>
      <c r="B366" s="29" t="str">
        <f t="shared" ref="B366:B429" si="28">MID(F366,8,3)</f>
        <v>365</v>
      </c>
      <c r="C366" s="29" t="str">
        <f t="shared" ref="C366:C429" si="29">MID(F366,1,1)</f>
        <v>C</v>
      </c>
      <c r="D366" s="29" t="str">
        <f t="shared" ref="D366:D429" si="30">MID(F366,3,1)</f>
        <v>O</v>
      </c>
      <c r="E366" s="29" t="str">
        <f t="shared" ref="E366:E429" si="31">MID(F366,2,1)</f>
        <v>F</v>
      </c>
      <c r="F366" s="1" t="s">
        <v>1423</v>
      </c>
      <c r="G366" s="1" t="s">
        <v>675</v>
      </c>
      <c r="H366" s="1" t="s">
        <v>359</v>
      </c>
      <c r="I366" s="1" t="s">
        <v>19</v>
      </c>
      <c r="J366" s="1" t="s">
        <v>676</v>
      </c>
      <c r="K366" s="1" t="s">
        <v>1424</v>
      </c>
      <c r="L366" s="1" t="s">
        <v>1425</v>
      </c>
      <c r="M366" s="1" t="s">
        <v>22</v>
      </c>
      <c r="N366" s="1" t="s">
        <v>118</v>
      </c>
      <c r="O366" s="1" t="s">
        <v>345</v>
      </c>
      <c r="P366" s="1" t="s">
        <v>24</v>
      </c>
      <c r="Q366" s="1" t="s">
        <v>346</v>
      </c>
      <c r="R366" s="1" t="s">
        <v>1426</v>
      </c>
      <c r="S366" s="75">
        <v>43641</v>
      </c>
      <c r="T366" s="1">
        <v>0</v>
      </c>
      <c r="U366" s="1" t="s">
        <v>1427</v>
      </c>
      <c r="V366" s="1" t="s">
        <v>27</v>
      </c>
      <c r="W366" s="1" t="s">
        <v>1830</v>
      </c>
      <c r="X366" s="1" t="s">
        <v>1836</v>
      </c>
      <c r="Y366" s="1" t="s">
        <v>1856</v>
      </c>
      <c r="Z366" s="1" t="s">
        <v>1836</v>
      </c>
      <c r="AA366" s="75">
        <v>45839</v>
      </c>
      <c r="AB366" s="75">
        <v>45839</v>
      </c>
      <c r="AC366" s="88">
        <v>1400000</v>
      </c>
      <c r="AD366" s="88">
        <v>5000000</v>
      </c>
    </row>
    <row r="367" spans="1:30" ht="17.399999999999999" customHeight="1" x14ac:dyDescent="0.4">
      <c r="A367" s="29">
        <v>364</v>
      </c>
      <c r="B367" s="29" t="str">
        <f t="shared" si="28"/>
        <v>366</v>
      </c>
      <c r="C367" s="29" t="str">
        <f t="shared" si="29"/>
        <v>C</v>
      </c>
      <c r="D367" s="29" t="str">
        <f t="shared" si="30"/>
        <v>O</v>
      </c>
      <c r="E367" s="29" t="str">
        <f t="shared" si="31"/>
        <v>F</v>
      </c>
      <c r="F367" s="1" t="s">
        <v>1428</v>
      </c>
      <c r="G367" s="1" t="s">
        <v>675</v>
      </c>
      <c r="H367" s="1" t="s">
        <v>359</v>
      </c>
      <c r="I367" s="1" t="s">
        <v>19</v>
      </c>
      <c r="J367" s="1" t="s">
        <v>676</v>
      </c>
      <c r="K367" s="1" t="s">
        <v>1429</v>
      </c>
      <c r="L367" s="1" t="s">
        <v>1430</v>
      </c>
      <c r="M367" s="1" t="s">
        <v>22</v>
      </c>
      <c r="N367" s="1" t="s">
        <v>118</v>
      </c>
      <c r="O367" s="1" t="s">
        <v>345</v>
      </c>
      <c r="P367" s="1" t="s">
        <v>24</v>
      </c>
      <c r="Q367" s="1" t="s">
        <v>346</v>
      </c>
      <c r="R367" s="1" t="s">
        <v>1431</v>
      </c>
      <c r="S367" s="75">
        <v>42935</v>
      </c>
      <c r="T367" s="1">
        <v>0</v>
      </c>
      <c r="U367" s="1" t="s">
        <v>1432</v>
      </c>
      <c r="V367" s="1" t="s">
        <v>27</v>
      </c>
      <c r="W367" s="1" t="s">
        <v>1830</v>
      </c>
      <c r="X367" s="1" t="s">
        <v>1836</v>
      </c>
      <c r="Y367" s="1" t="s">
        <v>1856</v>
      </c>
      <c r="Z367" s="1" t="s">
        <v>1836</v>
      </c>
      <c r="AA367" s="75">
        <v>45839</v>
      </c>
      <c r="AB367" s="75">
        <v>45839</v>
      </c>
      <c r="AC367" s="88">
        <v>1400000</v>
      </c>
      <c r="AD367" s="88">
        <v>5000000</v>
      </c>
    </row>
    <row r="368" spans="1:30" ht="17.399999999999999" customHeight="1" x14ac:dyDescent="0.4">
      <c r="A368" s="29">
        <v>365</v>
      </c>
      <c r="B368" s="29" t="str">
        <f t="shared" si="28"/>
        <v>367</v>
      </c>
      <c r="C368" s="29" t="str">
        <f t="shared" si="29"/>
        <v>C</v>
      </c>
      <c r="D368" s="29" t="str">
        <f t="shared" si="30"/>
        <v>O</v>
      </c>
      <c r="E368" s="29" t="str">
        <f t="shared" si="31"/>
        <v>F</v>
      </c>
      <c r="F368" s="1" t="s">
        <v>1433</v>
      </c>
      <c r="G368" s="1" t="s">
        <v>675</v>
      </c>
      <c r="H368" s="1" t="s">
        <v>359</v>
      </c>
      <c r="I368" s="1" t="s">
        <v>19</v>
      </c>
      <c r="J368" s="1" t="s">
        <v>676</v>
      </c>
      <c r="K368" s="1" t="s">
        <v>736</v>
      </c>
      <c r="L368" s="1" t="s">
        <v>1435</v>
      </c>
      <c r="M368" s="1" t="s">
        <v>22</v>
      </c>
      <c r="N368" s="1" t="s">
        <v>118</v>
      </c>
      <c r="O368" s="1" t="s">
        <v>254</v>
      </c>
      <c r="P368" s="1" t="s">
        <v>24</v>
      </c>
      <c r="Q368" s="1" t="s">
        <v>1436</v>
      </c>
      <c r="R368" s="1" t="s">
        <v>1437</v>
      </c>
      <c r="S368" s="75">
        <v>43207</v>
      </c>
      <c r="T368" s="1">
        <v>0</v>
      </c>
      <c r="U368" s="1" t="s">
        <v>1438</v>
      </c>
      <c r="V368" s="1" t="s">
        <v>27</v>
      </c>
      <c r="W368" s="1" t="s">
        <v>1830</v>
      </c>
      <c r="X368" s="1" t="s">
        <v>1836</v>
      </c>
      <c r="Y368" s="1" t="s">
        <v>359</v>
      </c>
      <c r="Z368" s="1" t="s">
        <v>1836</v>
      </c>
      <c r="AA368" s="75">
        <v>45839</v>
      </c>
      <c r="AB368" s="75">
        <v>45839</v>
      </c>
      <c r="AC368" s="88">
        <v>1150000</v>
      </c>
      <c r="AD368" s="88">
        <v>5000000</v>
      </c>
    </row>
    <row r="369" spans="1:30" ht="17.399999999999999" customHeight="1" x14ac:dyDescent="0.4">
      <c r="A369" s="29">
        <v>366</v>
      </c>
      <c r="B369" s="29" t="str">
        <f t="shared" si="28"/>
        <v>368</v>
      </c>
      <c r="C369" s="29" t="str">
        <f t="shared" si="29"/>
        <v>C</v>
      </c>
      <c r="D369" s="29" t="str">
        <f t="shared" si="30"/>
        <v>O</v>
      </c>
      <c r="E369" s="29" t="str">
        <f t="shared" si="31"/>
        <v>F</v>
      </c>
      <c r="F369" s="1" t="s">
        <v>1439</v>
      </c>
      <c r="G369" s="1" t="s">
        <v>675</v>
      </c>
      <c r="H369" s="1" t="s">
        <v>359</v>
      </c>
      <c r="I369" s="1" t="s">
        <v>19</v>
      </c>
      <c r="J369" s="1" t="s">
        <v>676</v>
      </c>
      <c r="K369" s="1" t="s">
        <v>1440</v>
      </c>
      <c r="L369" s="1" t="s">
        <v>1441</v>
      </c>
      <c r="M369" s="1" t="s">
        <v>22</v>
      </c>
      <c r="N369" s="1" t="s">
        <v>118</v>
      </c>
      <c r="O369" s="1" t="s">
        <v>339</v>
      </c>
      <c r="P369" s="1" t="s">
        <v>24</v>
      </c>
      <c r="Q369" s="1" t="s">
        <v>340</v>
      </c>
      <c r="R369" s="1" t="s">
        <v>1442</v>
      </c>
      <c r="S369" s="75">
        <v>44645</v>
      </c>
      <c r="T369" s="1">
        <v>0</v>
      </c>
      <c r="U369" s="1" t="s">
        <v>1443</v>
      </c>
      <c r="V369" s="1" t="s">
        <v>27</v>
      </c>
      <c r="W369" s="1" t="s">
        <v>1830</v>
      </c>
      <c r="X369" s="1" t="s">
        <v>1836</v>
      </c>
      <c r="Y369" s="1" t="s">
        <v>1856</v>
      </c>
      <c r="Z369" s="1" t="s">
        <v>1836</v>
      </c>
      <c r="AA369" s="75">
        <v>45839</v>
      </c>
      <c r="AB369" s="75">
        <v>45839</v>
      </c>
      <c r="AC369" s="88">
        <v>1000000</v>
      </c>
      <c r="AD369" s="88">
        <v>21797000</v>
      </c>
    </row>
    <row r="370" spans="1:30" ht="17.399999999999999" customHeight="1" x14ac:dyDescent="0.4">
      <c r="A370" s="29">
        <v>367</v>
      </c>
      <c r="B370" s="29" t="str">
        <f t="shared" si="28"/>
        <v>369</v>
      </c>
      <c r="C370" s="29" t="str">
        <f t="shared" si="29"/>
        <v>C</v>
      </c>
      <c r="D370" s="29" t="str">
        <f t="shared" si="30"/>
        <v>O</v>
      </c>
      <c r="E370" s="29" t="str">
        <f t="shared" si="31"/>
        <v>F</v>
      </c>
      <c r="F370" s="1" t="s">
        <v>1444</v>
      </c>
      <c r="G370" s="1" t="s">
        <v>675</v>
      </c>
      <c r="H370" s="1" t="s">
        <v>359</v>
      </c>
      <c r="I370" s="1" t="s">
        <v>19</v>
      </c>
      <c r="J370" s="1" t="s">
        <v>676</v>
      </c>
      <c r="K370" s="1" t="s">
        <v>1464</v>
      </c>
      <c r="L370" s="1" t="s">
        <v>1446</v>
      </c>
      <c r="M370" s="1" t="s">
        <v>22</v>
      </c>
      <c r="N370" s="1" t="s">
        <v>118</v>
      </c>
      <c r="O370" s="1" t="s">
        <v>339</v>
      </c>
      <c r="P370" s="1" t="s">
        <v>24</v>
      </c>
      <c r="Q370" s="1" t="s">
        <v>340</v>
      </c>
      <c r="R370" s="1" t="s">
        <v>1447</v>
      </c>
      <c r="S370" s="75">
        <v>44595</v>
      </c>
      <c r="T370" s="1">
        <v>0</v>
      </c>
      <c r="U370" s="1" t="s">
        <v>1448</v>
      </c>
      <c r="V370" s="1" t="s">
        <v>27</v>
      </c>
      <c r="W370" s="1" t="s">
        <v>1830</v>
      </c>
      <c r="X370" s="1" t="s">
        <v>1836</v>
      </c>
      <c r="Y370" s="1" t="s">
        <v>1856</v>
      </c>
      <c r="Z370" s="1" t="s">
        <v>1836</v>
      </c>
      <c r="AA370" s="75">
        <v>45839</v>
      </c>
      <c r="AB370" s="75">
        <v>45839</v>
      </c>
      <c r="AC370" s="88">
        <v>1000000</v>
      </c>
      <c r="AD370" s="88">
        <v>21034000</v>
      </c>
    </row>
    <row r="371" spans="1:30" ht="17.399999999999999" customHeight="1" x14ac:dyDescent="0.4">
      <c r="A371" s="29">
        <v>368</v>
      </c>
      <c r="B371" s="29" t="str">
        <f t="shared" si="28"/>
        <v>370</v>
      </c>
      <c r="C371" s="29" t="str">
        <f t="shared" si="29"/>
        <v>C</v>
      </c>
      <c r="D371" s="29" t="str">
        <f t="shared" si="30"/>
        <v>O</v>
      </c>
      <c r="E371" s="29" t="str">
        <f t="shared" si="31"/>
        <v>F</v>
      </c>
      <c r="F371" s="1" t="s">
        <v>1449</v>
      </c>
      <c r="G371" s="1" t="s">
        <v>675</v>
      </c>
      <c r="H371" s="1" t="s">
        <v>359</v>
      </c>
      <c r="I371" s="1" t="s">
        <v>19</v>
      </c>
      <c r="J371" s="1" t="s">
        <v>676</v>
      </c>
      <c r="K371" s="1" t="s">
        <v>1450</v>
      </c>
      <c r="L371" s="1" t="s">
        <v>1451</v>
      </c>
      <c r="M371" s="1" t="s">
        <v>22</v>
      </c>
      <c r="N371" s="1" t="s">
        <v>118</v>
      </c>
      <c r="O371" s="1" t="s">
        <v>339</v>
      </c>
      <c r="P371" s="1" t="s">
        <v>24</v>
      </c>
      <c r="Q371" s="1" t="s">
        <v>340</v>
      </c>
      <c r="R371" s="1" t="s">
        <v>1452</v>
      </c>
      <c r="S371" s="75">
        <v>44438</v>
      </c>
      <c r="T371" s="1">
        <v>0</v>
      </c>
      <c r="U371" s="1" t="s">
        <v>1453</v>
      </c>
      <c r="V371" s="1" t="s">
        <v>27</v>
      </c>
      <c r="W371" s="1" t="s">
        <v>1830</v>
      </c>
      <c r="X371" s="1" t="s">
        <v>1836</v>
      </c>
      <c r="Y371" s="1" t="s">
        <v>1856</v>
      </c>
      <c r="Z371" s="1" t="s">
        <v>1836</v>
      </c>
      <c r="AA371" s="75">
        <v>45839</v>
      </c>
      <c r="AB371" s="75">
        <v>45839</v>
      </c>
      <c r="AC371" s="88">
        <v>1000000</v>
      </c>
      <c r="AD371" s="88">
        <v>15590000</v>
      </c>
    </row>
    <row r="372" spans="1:30" ht="17.399999999999999" customHeight="1" x14ac:dyDescent="0.4">
      <c r="A372" s="29">
        <v>369</v>
      </c>
      <c r="B372" s="29" t="str">
        <f t="shared" si="28"/>
        <v>371</v>
      </c>
      <c r="C372" s="29" t="str">
        <f t="shared" si="29"/>
        <v>C</v>
      </c>
      <c r="D372" s="29" t="str">
        <f t="shared" si="30"/>
        <v>O</v>
      </c>
      <c r="E372" s="29" t="str">
        <f t="shared" si="31"/>
        <v>F</v>
      </c>
      <c r="F372" s="1" t="s">
        <v>1454</v>
      </c>
      <c r="G372" s="1" t="s">
        <v>675</v>
      </c>
      <c r="H372" s="1" t="s">
        <v>359</v>
      </c>
      <c r="I372" s="1" t="s">
        <v>19</v>
      </c>
      <c r="J372" s="1" t="s">
        <v>676</v>
      </c>
      <c r="K372" s="1" t="s">
        <v>1455</v>
      </c>
      <c r="L372" s="1" t="s">
        <v>1456</v>
      </c>
      <c r="M372" s="1" t="s">
        <v>22</v>
      </c>
      <c r="N372" s="1" t="s">
        <v>118</v>
      </c>
      <c r="O372" s="1" t="s">
        <v>339</v>
      </c>
      <c r="P372" s="1" t="s">
        <v>24</v>
      </c>
      <c r="Q372" s="1" t="s">
        <v>340</v>
      </c>
      <c r="R372" s="1" t="s">
        <v>1457</v>
      </c>
      <c r="S372" s="75">
        <v>44232</v>
      </c>
      <c r="T372" s="1">
        <v>0</v>
      </c>
      <c r="U372" s="1" t="s">
        <v>1458</v>
      </c>
      <c r="V372" s="1" t="s">
        <v>27</v>
      </c>
      <c r="W372" s="1" t="s">
        <v>1830</v>
      </c>
      <c r="X372" s="1" t="s">
        <v>1836</v>
      </c>
      <c r="Y372" s="1" t="s">
        <v>1856</v>
      </c>
      <c r="Z372" s="1" t="s">
        <v>1836</v>
      </c>
      <c r="AA372" s="75">
        <v>45839</v>
      </c>
      <c r="AB372" s="75">
        <v>45839</v>
      </c>
      <c r="AC372" s="88">
        <v>1000000</v>
      </c>
      <c r="AD372" s="88">
        <v>10454000</v>
      </c>
    </row>
    <row r="373" spans="1:30" ht="17.399999999999999" customHeight="1" x14ac:dyDescent="0.4">
      <c r="A373" s="29">
        <v>370</v>
      </c>
      <c r="B373" s="29" t="str">
        <f t="shared" si="28"/>
        <v>372</v>
      </c>
      <c r="C373" s="29" t="str">
        <f t="shared" si="29"/>
        <v>C</v>
      </c>
      <c r="D373" s="29" t="str">
        <f t="shared" si="30"/>
        <v>O</v>
      </c>
      <c r="E373" s="29" t="str">
        <f t="shared" si="31"/>
        <v>F</v>
      </c>
      <c r="F373" s="1" t="s">
        <v>1459</v>
      </c>
      <c r="G373" s="1" t="s">
        <v>675</v>
      </c>
      <c r="H373" s="1" t="s">
        <v>359</v>
      </c>
      <c r="I373" s="1" t="s">
        <v>19</v>
      </c>
      <c r="J373" s="1" t="s">
        <v>676</v>
      </c>
      <c r="K373" s="1" t="s">
        <v>736</v>
      </c>
      <c r="L373" s="1" t="s">
        <v>1460</v>
      </c>
      <c r="M373" s="1" t="s">
        <v>22</v>
      </c>
      <c r="N373" s="1" t="s">
        <v>118</v>
      </c>
      <c r="O373" s="1" t="s">
        <v>339</v>
      </c>
      <c r="P373" s="1" t="s">
        <v>24</v>
      </c>
      <c r="Q373" s="1" t="s">
        <v>340</v>
      </c>
      <c r="R373" s="1" t="s">
        <v>1461</v>
      </c>
      <c r="S373" s="75">
        <v>43641</v>
      </c>
      <c r="T373" s="1">
        <v>0</v>
      </c>
      <c r="U373" s="1" t="s">
        <v>1462</v>
      </c>
      <c r="V373" s="1" t="s">
        <v>27</v>
      </c>
      <c r="W373" s="1" t="s">
        <v>1830</v>
      </c>
      <c r="X373" s="1" t="s">
        <v>1836</v>
      </c>
      <c r="Y373" s="1" t="s">
        <v>359</v>
      </c>
      <c r="Z373" s="1" t="s">
        <v>1836</v>
      </c>
      <c r="AA373" s="75">
        <v>45839</v>
      </c>
      <c r="AB373" s="75">
        <v>45839</v>
      </c>
      <c r="AC373" s="88">
        <v>1000000</v>
      </c>
      <c r="AD373" s="88">
        <v>5000000</v>
      </c>
    </row>
    <row r="374" spans="1:30" ht="17.399999999999999" customHeight="1" x14ac:dyDescent="0.4">
      <c r="A374" s="29">
        <v>371</v>
      </c>
      <c r="B374" s="29" t="str">
        <f t="shared" si="28"/>
        <v>373</v>
      </c>
      <c r="C374" s="29" t="str">
        <f t="shared" si="29"/>
        <v>C</v>
      </c>
      <c r="D374" s="29" t="str">
        <f t="shared" si="30"/>
        <v>O</v>
      </c>
      <c r="E374" s="29" t="str">
        <f t="shared" si="31"/>
        <v>F</v>
      </c>
      <c r="F374" s="1" t="s">
        <v>1463</v>
      </c>
      <c r="G374" s="1" t="s">
        <v>675</v>
      </c>
      <c r="H374" s="1" t="s">
        <v>359</v>
      </c>
      <c r="I374" s="1" t="s">
        <v>19</v>
      </c>
      <c r="J374" s="1" t="s">
        <v>676</v>
      </c>
      <c r="K374" s="1" t="s">
        <v>1464</v>
      </c>
      <c r="L374" s="1" t="s">
        <v>1465</v>
      </c>
      <c r="M374" s="1" t="s">
        <v>22</v>
      </c>
      <c r="N374" s="1" t="s">
        <v>118</v>
      </c>
      <c r="O374" s="1" t="s">
        <v>339</v>
      </c>
      <c r="P374" s="1" t="s">
        <v>24</v>
      </c>
      <c r="Q374" s="1" t="s">
        <v>340</v>
      </c>
      <c r="R374" s="1" t="s">
        <v>1466</v>
      </c>
      <c r="S374" s="75">
        <v>43641</v>
      </c>
      <c r="T374" s="1">
        <v>0</v>
      </c>
      <c r="U374" s="1" t="s">
        <v>1467</v>
      </c>
      <c r="V374" s="1" t="s">
        <v>27</v>
      </c>
      <c r="W374" s="1" t="s">
        <v>1830</v>
      </c>
      <c r="X374" s="1" t="s">
        <v>1836</v>
      </c>
      <c r="Y374" s="1" t="s">
        <v>1856</v>
      </c>
      <c r="Z374" s="1" t="s">
        <v>1836</v>
      </c>
      <c r="AA374" s="75">
        <v>45839</v>
      </c>
      <c r="AB374" s="75">
        <v>45839</v>
      </c>
      <c r="AC374" s="88">
        <v>1000000</v>
      </c>
      <c r="AD374" s="88">
        <v>5000000</v>
      </c>
    </row>
    <row r="375" spans="1:30" ht="17.399999999999999" customHeight="1" x14ac:dyDescent="0.4">
      <c r="A375" s="29">
        <v>372</v>
      </c>
      <c r="B375" s="29" t="str">
        <f t="shared" si="28"/>
        <v>374</v>
      </c>
      <c r="C375" s="29" t="str">
        <f t="shared" si="29"/>
        <v>C</v>
      </c>
      <c r="D375" s="29" t="str">
        <f t="shared" si="30"/>
        <v>O</v>
      </c>
      <c r="E375" s="29" t="str">
        <f t="shared" si="31"/>
        <v>F</v>
      </c>
      <c r="F375" s="1" t="s">
        <v>1468</v>
      </c>
      <c r="G375" s="1" t="s">
        <v>675</v>
      </c>
      <c r="H375" s="1" t="s">
        <v>359</v>
      </c>
      <c r="I375" s="1" t="s">
        <v>19</v>
      </c>
      <c r="J375" s="1" t="s">
        <v>676</v>
      </c>
      <c r="K375" s="1" t="s">
        <v>1469</v>
      </c>
      <c r="L375" s="1" t="s">
        <v>1470</v>
      </c>
      <c r="M375" s="1" t="s">
        <v>22</v>
      </c>
      <c r="N375" s="1" t="s">
        <v>118</v>
      </c>
      <c r="O375" s="1" t="s">
        <v>339</v>
      </c>
      <c r="P375" s="1" t="s">
        <v>24</v>
      </c>
      <c r="Q375" s="1" t="s">
        <v>340</v>
      </c>
      <c r="R375" s="1" t="s">
        <v>1471</v>
      </c>
      <c r="S375" s="75">
        <v>45841</v>
      </c>
      <c r="T375" s="1">
        <v>0</v>
      </c>
      <c r="U375" s="1" t="s">
        <v>1472</v>
      </c>
      <c r="V375" s="1" t="s">
        <v>27</v>
      </c>
      <c r="W375" s="1" t="s">
        <v>1830</v>
      </c>
      <c r="X375" s="1" t="s">
        <v>1836</v>
      </c>
      <c r="Y375" s="1" t="s">
        <v>1856</v>
      </c>
      <c r="Z375" s="1" t="s">
        <v>1836</v>
      </c>
      <c r="AA375" s="75">
        <v>45839</v>
      </c>
      <c r="AB375" s="75">
        <v>45839</v>
      </c>
      <c r="AC375" s="88">
        <v>1000000</v>
      </c>
      <c r="AD375" s="88">
        <v>5000000</v>
      </c>
    </row>
    <row r="376" spans="1:30" ht="17.399999999999999" customHeight="1" x14ac:dyDescent="0.4">
      <c r="A376" s="29">
        <v>373</v>
      </c>
      <c r="B376" s="29" t="str">
        <f t="shared" si="28"/>
        <v>375</v>
      </c>
      <c r="C376" s="29" t="str">
        <f t="shared" si="29"/>
        <v>C</v>
      </c>
      <c r="D376" s="29" t="str">
        <f t="shared" si="30"/>
        <v>O</v>
      </c>
      <c r="E376" s="29" t="str">
        <f t="shared" si="31"/>
        <v>F</v>
      </c>
      <c r="F376" s="1" t="s">
        <v>1473</v>
      </c>
      <c r="G376" s="1" t="s">
        <v>675</v>
      </c>
      <c r="H376" s="1" t="s">
        <v>359</v>
      </c>
      <c r="I376" s="1" t="s">
        <v>19</v>
      </c>
      <c r="J376" s="1" t="s">
        <v>676</v>
      </c>
      <c r="K376" s="1" t="s">
        <v>1474</v>
      </c>
      <c r="L376" s="1" t="s">
        <v>1475</v>
      </c>
      <c r="M376" s="1" t="s">
        <v>22</v>
      </c>
      <c r="N376" s="1" t="s">
        <v>118</v>
      </c>
      <c r="O376" s="1" t="s">
        <v>339</v>
      </c>
      <c r="P376" s="1" t="s">
        <v>24</v>
      </c>
      <c r="Q376" s="1" t="s">
        <v>340</v>
      </c>
      <c r="R376" s="1" t="s">
        <v>1476</v>
      </c>
      <c r="S376" s="75">
        <v>43641</v>
      </c>
      <c r="T376" s="1">
        <v>0</v>
      </c>
      <c r="U376" s="1" t="s">
        <v>1477</v>
      </c>
      <c r="V376" s="1" t="s">
        <v>27</v>
      </c>
      <c r="W376" s="1" t="s">
        <v>1830</v>
      </c>
      <c r="X376" s="1" t="s">
        <v>1836</v>
      </c>
      <c r="Y376" s="1" t="s">
        <v>1856</v>
      </c>
      <c r="Z376" s="1" t="s">
        <v>1836</v>
      </c>
      <c r="AA376" s="75">
        <v>45839</v>
      </c>
      <c r="AB376" s="75">
        <v>45839</v>
      </c>
      <c r="AC376" s="88">
        <v>1000000</v>
      </c>
      <c r="AD376" s="88">
        <v>5000000</v>
      </c>
    </row>
    <row r="377" spans="1:30" ht="17.399999999999999" customHeight="1" x14ac:dyDescent="0.4">
      <c r="A377" s="29">
        <v>374</v>
      </c>
      <c r="B377" s="29" t="str">
        <f t="shared" si="28"/>
        <v>376</v>
      </c>
      <c r="C377" s="29" t="str">
        <f t="shared" si="29"/>
        <v>C</v>
      </c>
      <c r="D377" s="29" t="str">
        <f t="shared" si="30"/>
        <v>O</v>
      </c>
      <c r="E377" s="29" t="str">
        <f t="shared" si="31"/>
        <v>F</v>
      </c>
      <c r="F377" s="1" t="s">
        <v>1478</v>
      </c>
      <c r="G377" s="1" t="s">
        <v>675</v>
      </c>
      <c r="H377" s="1" t="s">
        <v>359</v>
      </c>
      <c r="I377" s="1" t="s">
        <v>19</v>
      </c>
      <c r="J377" s="1" t="s">
        <v>676</v>
      </c>
      <c r="K377" s="1" t="s">
        <v>736</v>
      </c>
      <c r="L377" s="1" t="s">
        <v>1479</v>
      </c>
      <c r="M377" s="1" t="s">
        <v>22</v>
      </c>
      <c r="N377" s="1" t="s">
        <v>118</v>
      </c>
      <c r="O377" s="1" t="s">
        <v>339</v>
      </c>
      <c r="P377" s="1" t="s">
        <v>24</v>
      </c>
      <c r="Q377" s="1" t="s">
        <v>340</v>
      </c>
      <c r="R377" s="1" t="s">
        <v>1480</v>
      </c>
      <c r="S377" s="75">
        <v>42935</v>
      </c>
      <c r="T377" s="1">
        <v>0</v>
      </c>
      <c r="U377" s="1" t="s">
        <v>1481</v>
      </c>
      <c r="V377" s="1" t="s">
        <v>27</v>
      </c>
      <c r="W377" s="1" t="s">
        <v>1830</v>
      </c>
      <c r="X377" s="1" t="s">
        <v>1836</v>
      </c>
      <c r="Y377" s="1" t="s">
        <v>359</v>
      </c>
      <c r="Z377" s="1" t="s">
        <v>1836</v>
      </c>
      <c r="AA377" s="75">
        <v>45839</v>
      </c>
      <c r="AB377" s="75">
        <v>45839</v>
      </c>
      <c r="AC377" s="88">
        <v>1000000</v>
      </c>
      <c r="AD377" s="88">
        <v>5000000</v>
      </c>
    </row>
    <row r="378" spans="1:30" ht="17.399999999999999" customHeight="1" x14ac:dyDescent="0.4">
      <c r="A378" s="29">
        <v>375</v>
      </c>
      <c r="B378" s="29" t="str">
        <f t="shared" si="28"/>
        <v>377</v>
      </c>
      <c r="C378" s="29" t="str">
        <f t="shared" si="29"/>
        <v>C</v>
      </c>
      <c r="D378" s="29" t="str">
        <f t="shared" si="30"/>
        <v>O</v>
      </c>
      <c r="E378" s="29" t="str">
        <f t="shared" si="31"/>
        <v>F</v>
      </c>
      <c r="F378" s="1" t="s">
        <v>1482</v>
      </c>
      <c r="G378" s="1" t="s">
        <v>675</v>
      </c>
      <c r="H378" s="1" t="s">
        <v>359</v>
      </c>
      <c r="I378" s="1" t="s">
        <v>19</v>
      </c>
      <c r="J378" s="1" t="s">
        <v>676</v>
      </c>
      <c r="K378" s="1" t="s">
        <v>1483</v>
      </c>
      <c r="L378" s="1" t="s">
        <v>1484</v>
      </c>
      <c r="M378" s="1" t="s">
        <v>22</v>
      </c>
      <c r="N378" s="1" t="s">
        <v>118</v>
      </c>
      <c r="O378" s="1" t="s">
        <v>339</v>
      </c>
      <c r="P378" s="1" t="s">
        <v>24</v>
      </c>
      <c r="Q378" s="1" t="s">
        <v>340</v>
      </c>
      <c r="R378" s="1" t="s">
        <v>1485</v>
      </c>
      <c r="S378" s="75">
        <v>42935</v>
      </c>
      <c r="T378" s="1">
        <v>0</v>
      </c>
      <c r="U378" s="1" t="s">
        <v>1486</v>
      </c>
      <c r="V378" s="1" t="s">
        <v>27</v>
      </c>
      <c r="W378" s="1" t="s">
        <v>1830</v>
      </c>
      <c r="X378" s="1" t="s">
        <v>1836</v>
      </c>
      <c r="Y378" s="1" t="s">
        <v>1856</v>
      </c>
      <c r="Z378" s="1" t="s">
        <v>1836</v>
      </c>
      <c r="AA378" s="75">
        <v>45839</v>
      </c>
      <c r="AB378" s="75">
        <v>45839</v>
      </c>
      <c r="AC378" s="88">
        <v>1000000</v>
      </c>
      <c r="AD378" s="88">
        <v>5000000</v>
      </c>
    </row>
    <row r="379" spans="1:30" ht="17.399999999999999" customHeight="1" x14ac:dyDescent="0.4">
      <c r="A379" s="29">
        <v>376</v>
      </c>
      <c r="B379" s="29" t="str">
        <f t="shared" si="28"/>
        <v>378</v>
      </c>
      <c r="C379" s="29" t="str">
        <f t="shared" si="29"/>
        <v>C</v>
      </c>
      <c r="D379" s="29" t="str">
        <f t="shared" si="30"/>
        <v>O</v>
      </c>
      <c r="E379" s="29" t="str">
        <f t="shared" si="31"/>
        <v>F</v>
      </c>
      <c r="F379" s="1" t="s">
        <v>1487</v>
      </c>
      <c r="G379" s="1" t="s">
        <v>429</v>
      </c>
      <c r="H379" s="1" t="s">
        <v>1695</v>
      </c>
      <c r="I379" s="1" t="s">
        <v>19</v>
      </c>
      <c r="J379" s="1" t="s">
        <v>428</v>
      </c>
      <c r="K379" s="1" t="s">
        <v>429</v>
      </c>
      <c r="L379" s="1" t="s">
        <v>1716</v>
      </c>
      <c r="M379" s="1" t="s">
        <v>22</v>
      </c>
      <c r="N379" s="1" t="s">
        <v>118</v>
      </c>
      <c r="O379" s="1" t="s">
        <v>317</v>
      </c>
      <c r="P379" s="1" t="s">
        <v>24</v>
      </c>
      <c r="Q379" s="1" t="s">
        <v>1488</v>
      </c>
      <c r="R379" s="1" t="s">
        <v>1489</v>
      </c>
      <c r="S379" s="75">
        <v>44253</v>
      </c>
      <c r="T379" s="1">
        <v>0</v>
      </c>
      <c r="U379" s="1" t="s">
        <v>1490</v>
      </c>
      <c r="V379" s="1" t="s">
        <v>27</v>
      </c>
      <c r="W379" s="1" t="s">
        <v>1830</v>
      </c>
      <c r="X379" s="1" t="s">
        <v>1836</v>
      </c>
      <c r="Y379" s="1" t="s">
        <v>1846</v>
      </c>
      <c r="Z379" s="1" t="s">
        <v>1836</v>
      </c>
      <c r="AA379" s="75">
        <v>45839</v>
      </c>
      <c r="AB379" s="75">
        <v>45870</v>
      </c>
      <c r="AC379" s="88">
        <v>900000</v>
      </c>
      <c r="AD379" s="88">
        <v>8796000</v>
      </c>
    </row>
    <row r="380" spans="1:30" ht="17.399999999999999" customHeight="1" x14ac:dyDescent="0.4">
      <c r="A380" s="29">
        <v>377</v>
      </c>
      <c r="B380" s="29" t="str">
        <f t="shared" si="28"/>
        <v>379</v>
      </c>
      <c r="C380" s="29" t="str">
        <f t="shared" si="29"/>
        <v>C</v>
      </c>
      <c r="D380" s="29" t="str">
        <f t="shared" si="30"/>
        <v>O</v>
      </c>
      <c r="E380" s="29" t="str">
        <f t="shared" si="31"/>
        <v>F</v>
      </c>
      <c r="F380" s="1" t="s">
        <v>1491</v>
      </c>
      <c r="G380" s="1" t="s">
        <v>675</v>
      </c>
      <c r="H380" s="1" t="s">
        <v>359</v>
      </c>
      <c r="I380" s="1" t="s">
        <v>19</v>
      </c>
      <c r="J380" s="1" t="s">
        <v>676</v>
      </c>
      <c r="K380" s="1" t="s">
        <v>1492</v>
      </c>
      <c r="L380" s="1" t="s">
        <v>1493</v>
      </c>
      <c r="M380" s="1" t="s">
        <v>22</v>
      </c>
      <c r="N380" s="1" t="s">
        <v>118</v>
      </c>
      <c r="O380" s="1" t="s">
        <v>317</v>
      </c>
      <c r="P380" s="1" t="s">
        <v>24</v>
      </c>
      <c r="Q380" s="1" t="s">
        <v>1488</v>
      </c>
      <c r="R380" s="1" t="s">
        <v>1494</v>
      </c>
      <c r="S380" s="75">
        <v>43215</v>
      </c>
      <c r="T380" s="1">
        <v>0</v>
      </c>
      <c r="U380" s="1" t="s">
        <v>1495</v>
      </c>
      <c r="V380" s="1" t="s">
        <v>27</v>
      </c>
      <c r="W380" s="1" t="s">
        <v>1830</v>
      </c>
      <c r="X380" s="1" t="s">
        <v>1836</v>
      </c>
      <c r="Y380" s="1" t="s">
        <v>1856</v>
      </c>
      <c r="Z380" s="1" t="s">
        <v>1836</v>
      </c>
      <c r="AA380" s="75">
        <v>45839</v>
      </c>
      <c r="AB380" s="75">
        <v>45839</v>
      </c>
      <c r="AC380" s="88">
        <v>900000</v>
      </c>
      <c r="AD380" s="88">
        <v>5000000</v>
      </c>
    </row>
    <row r="381" spans="1:30" ht="17.399999999999999" customHeight="1" x14ac:dyDescent="0.4">
      <c r="A381" s="29">
        <v>378</v>
      </c>
      <c r="B381" s="29" t="str">
        <f t="shared" si="28"/>
        <v>380</v>
      </c>
      <c r="C381" s="29" t="str">
        <f t="shared" si="29"/>
        <v>C</v>
      </c>
      <c r="D381" s="29" t="str">
        <f t="shared" si="30"/>
        <v>O</v>
      </c>
      <c r="E381" s="29" t="str">
        <f t="shared" si="31"/>
        <v>F</v>
      </c>
      <c r="F381" s="1" t="s">
        <v>1496</v>
      </c>
      <c r="G381" s="1" t="s">
        <v>675</v>
      </c>
      <c r="H381" s="1" t="s">
        <v>359</v>
      </c>
      <c r="I381" s="1" t="s">
        <v>19</v>
      </c>
      <c r="J381" s="1" t="s">
        <v>676</v>
      </c>
      <c r="K381" s="1" t="s">
        <v>1497</v>
      </c>
      <c r="L381" s="1" t="s">
        <v>1498</v>
      </c>
      <c r="M381" s="1" t="s">
        <v>22</v>
      </c>
      <c r="N381" s="1" t="s">
        <v>118</v>
      </c>
      <c r="O381" s="1" t="s">
        <v>317</v>
      </c>
      <c r="P381" s="1" t="s">
        <v>24</v>
      </c>
      <c r="Q381" s="1" t="s">
        <v>1488</v>
      </c>
      <c r="R381" s="1" t="s">
        <v>1499</v>
      </c>
      <c r="S381" s="75">
        <v>43215</v>
      </c>
      <c r="T381" s="1">
        <v>0</v>
      </c>
      <c r="U381" s="1" t="s">
        <v>1500</v>
      </c>
      <c r="V381" s="1" t="s">
        <v>27</v>
      </c>
      <c r="W381" s="1" t="s">
        <v>1830</v>
      </c>
      <c r="X381" s="1" t="s">
        <v>1836</v>
      </c>
      <c r="Y381" s="1" t="s">
        <v>1856</v>
      </c>
      <c r="Z381" s="1" t="s">
        <v>1836</v>
      </c>
      <c r="AA381" s="75">
        <v>45839</v>
      </c>
      <c r="AB381" s="75">
        <v>45839</v>
      </c>
      <c r="AC381" s="88">
        <v>900000</v>
      </c>
      <c r="AD381" s="88">
        <v>5000000</v>
      </c>
    </row>
    <row r="382" spans="1:30" ht="17.399999999999999" customHeight="1" x14ac:dyDescent="0.4">
      <c r="A382" s="29">
        <v>379</v>
      </c>
      <c r="B382" s="29" t="str">
        <f t="shared" si="28"/>
        <v>381</v>
      </c>
      <c r="C382" s="29" t="str">
        <f t="shared" si="29"/>
        <v>C</v>
      </c>
      <c r="D382" s="29" t="str">
        <f t="shared" si="30"/>
        <v>O</v>
      </c>
      <c r="E382" s="29" t="str">
        <f t="shared" si="31"/>
        <v>F</v>
      </c>
      <c r="F382" s="1" t="s">
        <v>1501</v>
      </c>
      <c r="G382" s="1" t="s">
        <v>675</v>
      </c>
      <c r="H382" s="1" t="s">
        <v>359</v>
      </c>
      <c r="I382" s="1" t="s">
        <v>19</v>
      </c>
      <c r="J382" s="1" t="s">
        <v>676</v>
      </c>
      <c r="K382" s="1" t="s">
        <v>1502</v>
      </c>
      <c r="L382" s="1" t="s">
        <v>1503</v>
      </c>
      <c r="M382" s="1" t="s">
        <v>22</v>
      </c>
      <c r="N382" s="1" t="s">
        <v>118</v>
      </c>
      <c r="O382" s="1" t="s">
        <v>317</v>
      </c>
      <c r="P382" s="1" t="s">
        <v>24</v>
      </c>
      <c r="Q382" s="1" t="s">
        <v>1488</v>
      </c>
      <c r="R382" s="1" t="s">
        <v>1504</v>
      </c>
      <c r="S382" s="75">
        <v>43215</v>
      </c>
      <c r="T382" s="1">
        <v>0</v>
      </c>
      <c r="U382" s="1" t="s">
        <v>1505</v>
      </c>
      <c r="V382" s="1" t="s">
        <v>27</v>
      </c>
      <c r="W382" s="1" t="s">
        <v>1830</v>
      </c>
      <c r="X382" s="1" t="s">
        <v>1836</v>
      </c>
      <c r="Y382" s="1" t="s">
        <v>1856</v>
      </c>
      <c r="Z382" s="1" t="s">
        <v>1836</v>
      </c>
      <c r="AA382" s="75">
        <v>45839</v>
      </c>
      <c r="AB382" s="75">
        <v>45839</v>
      </c>
      <c r="AC382" s="88">
        <v>900000</v>
      </c>
      <c r="AD382" s="88">
        <v>5000000</v>
      </c>
    </row>
    <row r="383" spans="1:30" ht="17.399999999999999" customHeight="1" x14ac:dyDescent="0.4">
      <c r="A383" s="29">
        <v>380</v>
      </c>
      <c r="B383" s="29" t="str">
        <f t="shared" si="28"/>
        <v>382</v>
      </c>
      <c r="C383" s="29" t="str">
        <f t="shared" si="29"/>
        <v>C</v>
      </c>
      <c r="D383" s="29" t="str">
        <f t="shared" si="30"/>
        <v>O</v>
      </c>
      <c r="E383" s="29" t="str">
        <f t="shared" si="31"/>
        <v>F</v>
      </c>
      <c r="F383" s="1" t="s">
        <v>1506</v>
      </c>
      <c r="G383" s="1" t="s">
        <v>675</v>
      </c>
      <c r="H383" s="1" t="s">
        <v>359</v>
      </c>
      <c r="I383" s="1" t="s">
        <v>19</v>
      </c>
      <c r="J383" s="1" t="s">
        <v>676</v>
      </c>
      <c r="K383" s="1" t="s">
        <v>1507</v>
      </c>
      <c r="L383" s="1" t="s">
        <v>1508</v>
      </c>
      <c r="M383" s="1" t="s">
        <v>22</v>
      </c>
      <c r="N383" s="1" t="s">
        <v>118</v>
      </c>
      <c r="O383" s="1" t="s">
        <v>317</v>
      </c>
      <c r="P383" s="1" t="s">
        <v>24</v>
      </c>
      <c r="Q383" s="1" t="s">
        <v>1004</v>
      </c>
      <c r="R383" s="1" t="s">
        <v>1509</v>
      </c>
      <c r="S383" s="75">
        <v>42935</v>
      </c>
      <c r="T383" s="1">
        <v>0</v>
      </c>
      <c r="U383" s="1" t="s">
        <v>1510</v>
      </c>
      <c r="V383" s="1" t="s">
        <v>27</v>
      </c>
      <c r="W383" s="1" t="s">
        <v>1830</v>
      </c>
      <c r="X383" s="1" t="s">
        <v>1836</v>
      </c>
      <c r="Y383" s="1" t="s">
        <v>1856</v>
      </c>
      <c r="Z383" s="1" t="s">
        <v>1836</v>
      </c>
      <c r="AA383" s="75">
        <v>45839</v>
      </c>
      <c r="AB383" s="75">
        <v>45839</v>
      </c>
      <c r="AC383" s="88">
        <v>900000</v>
      </c>
      <c r="AD383" s="88">
        <v>5000000</v>
      </c>
    </row>
    <row r="384" spans="1:30" ht="17.399999999999999" customHeight="1" x14ac:dyDescent="0.4">
      <c r="A384" s="29">
        <v>381</v>
      </c>
      <c r="B384" s="29" t="str">
        <f t="shared" si="28"/>
        <v>383</v>
      </c>
      <c r="C384" s="29" t="str">
        <f t="shared" si="29"/>
        <v>C</v>
      </c>
      <c r="D384" s="29" t="str">
        <f t="shared" si="30"/>
        <v>O</v>
      </c>
      <c r="E384" s="29" t="str">
        <f t="shared" si="31"/>
        <v>F</v>
      </c>
      <c r="F384" s="1" t="s">
        <v>1511</v>
      </c>
      <c r="G384" s="1" t="s">
        <v>675</v>
      </c>
      <c r="H384" s="1" t="s">
        <v>359</v>
      </c>
      <c r="I384" s="1" t="s">
        <v>19</v>
      </c>
      <c r="J384" s="1" t="s">
        <v>676</v>
      </c>
      <c r="K384" s="1" t="s">
        <v>1512</v>
      </c>
      <c r="L384" s="1" t="s">
        <v>1513</v>
      </c>
      <c r="M384" s="1" t="s">
        <v>22</v>
      </c>
      <c r="N384" s="1" t="s">
        <v>118</v>
      </c>
      <c r="O384" s="1" t="s">
        <v>317</v>
      </c>
      <c r="P384" s="1" t="s">
        <v>24</v>
      </c>
      <c r="Q384" s="1" t="s">
        <v>1004</v>
      </c>
      <c r="R384" s="1" t="s">
        <v>1514</v>
      </c>
      <c r="S384" s="75">
        <v>42935</v>
      </c>
      <c r="T384" s="1">
        <v>0</v>
      </c>
      <c r="U384" s="1" t="s">
        <v>1515</v>
      </c>
      <c r="V384" s="1" t="s">
        <v>27</v>
      </c>
      <c r="W384" s="1" t="s">
        <v>1830</v>
      </c>
      <c r="X384" s="1" t="s">
        <v>1836</v>
      </c>
      <c r="Y384" s="1" t="s">
        <v>1856</v>
      </c>
      <c r="Z384" s="1" t="s">
        <v>1836</v>
      </c>
      <c r="AA384" s="75">
        <v>45839</v>
      </c>
      <c r="AB384" s="75">
        <v>45839</v>
      </c>
      <c r="AC384" s="88">
        <v>900000</v>
      </c>
      <c r="AD384" s="88">
        <v>5000000</v>
      </c>
    </row>
    <row r="385" spans="1:30" ht="17.399999999999999" customHeight="1" x14ac:dyDescent="0.4">
      <c r="A385" s="29">
        <v>382</v>
      </c>
      <c r="B385" s="29" t="str">
        <f t="shared" si="28"/>
        <v>384</v>
      </c>
      <c r="C385" s="29" t="str">
        <f t="shared" si="29"/>
        <v>C</v>
      </c>
      <c r="D385" s="29" t="str">
        <f t="shared" si="30"/>
        <v>B</v>
      </c>
      <c r="E385" s="29" t="str">
        <f t="shared" si="31"/>
        <v>F</v>
      </c>
      <c r="F385" s="1" t="s">
        <v>1747</v>
      </c>
      <c r="G385" s="1" t="s">
        <v>675</v>
      </c>
      <c r="H385" s="1" t="s">
        <v>359</v>
      </c>
      <c r="I385" s="1" t="s">
        <v>19</v>
      </c>
      <c r="J385" s="1" t="s">
        <v>676</v>
      </c>
      <c r="K385" s="1" t="s">
        <v>1434</v>
      </c>
      <c r="L385" s="1" t="s">
        <v>1516</v>
      </c>
      <c r="M385" s="1" t="s">
        <v>22</v>
      </c>
      <c r="N385" s="1" t="s">
        <v>118</v>
      </c>
      <c r="O385" s="1" t="s">
        <v>254</v>
      </c>
      <c r="P385" s="1" t="s">
        <v>24</v>
      </c>
      <c r="Q385" s="1" t="s">
        <v>715</v>
      </c>
      <c r="R385" s="1" t="s">
        <v>1517</v>
      </c>
      <c r="S385" s="75">
        <v>44942</v>
      </c>
      <c r="T385" s="1">
        <v>0</v>
      </c>
      <c r="U385" s="1"/>
      <c r="V385" s="1" t="s">
        <v>27</v>
      </c>
      <c r="W385" s="1" t="s">
        <v>1830</v>
      </c>
      <c r="X385" s="1" t="s">
        <v>1836</v>
      </c>
      <c r="Y385" s="1" t="s">
        <v>1839</v>
      </c>
      <c r="Z385" s="1" t="s">
        <v>1836</v>
      </c>
      <c r="AA385" s="75">
        <v>45839</v>
      </c>
      <c r="AB385" s="75">
        <v>45839</v>
      </c>
      <c r="AC385" s="88">
        <v>1150000</v>
      </c>
      <c r="AD385" s="88">
        <v>34950000</v>
      </c>
    </row>
    <row r="386" spans="1:30" ht="17.399999999999999" customHeight="1" x14ac:dyDescent="0.4">
      <c r="A386" s="29">
        <v>383</v>
      </c>
      <c r="B386" s="29" t="str">
        <f t="shared" si="28"/>
        <v>385</v>
      </c>
      <c r="C386" s="29" t="str">
        <f t="shared" si="29"/>
        <v>C</v>
      </c>
      <c r="D386" s="29" t="str">
        <f t="shared" si="30"/>
        <v>B</v>
      </c>
      <c r="E386" s="29" t="str">
        <f t="shared" si="31"/>
        <v>F</v>
      </c>
      <c r="F386" s="1" t="s">
        <v>1748</v>
      </c>
      <c r="G386" s="1" t="s">
        <v>675</v>
      </c>
      <c r="H386" s="1" t="s">
        <v>359</v>
      </c>
      <c r="I386" s="1" t="s">
        <v>19</v>
      </c>
      <c r="J386" s="1" t="s">
        <v>676</v>
      </c>
      <c r="K386" s="1" t="s">
        <v>1445</v>
      </c>
      <c r="L386" s="1" t="s">
        <v>1518</v>
      </c>
      <c r="M386" s="1" t="s">
        <v>22</v>
      </c>
      <c r="N386" s="1" t="s">
        <v>118</v>
      </c>
      <c r="O386" s="1" t="s">
        <v>254</v>
      </c>
      <c r="P386" s="1" t="s">
        <v>24</v>
      </c>
      <c r="Q386" s="1" t="s">
        <v>715</v>
      </c>
      <c r="R386" s="1" t="s">
        <v>1519</v>
      </c>
      <c r="S386" s="75">
        <v>44438</v>
      </c>
      <c r="T386" s="1">
        <v>0</v>
      </c>
      <c r="U386" s="1"/>
      <c r="V386" s="1" t="s">
        <v>27</v>
      </c>
      <c r="W386" s="1" t="s">
        <v>1830</v>
      </c>
      <c r="X386" s="1" t="s">
        <v>1836</v>
      </c>
      <c r="Y386" s="1" t="s">
        <v>1839</v>
      </c>
      <c r="Z386" s="1" t="s">
        <v>1836</v>
      </c>
      <c r="AA386" s="75">
        <v>45839</v>
      </c>
      <c r="AB386" s="75">
        <v>45839</v>
      </c>
      <c r="AC386" s="88">
        <v>1150000</v>
      </c>
      <c r="AD386" s="88">
        <v>16900000</v>
      </c>
    </row>
    <row r="387" spans="1:30" ht="17.399999999999999" customHeight="1" x14ac:dyDescent="0.4">
      <c r="A387" s="29">
        <v>384</v>
      </c>
      <c r="B387" s="29" t="str">
        <f t="shared" si="28"/>
        <v>386</v>
      </c>
      <c r="C387" s="29" t="str">
        <f t="shared" si="29"/>
        <v>C</v>
      </c>
      <c r="D387" s="29" t="str">
        <f t="shared" si="30"/>
        <v>B</v>
      </c>
      <c r="E387" s="29" t="str">
        <f t="shared" si="31"/>
        <v>F</v>
      </c>
      <c r="F387" s="1" t="s">
        <v>1520</v>
      </c>
      <c r="G387" s="1" t="s">
        <v>675</v>
      </c>
      <c r="H387" s="1" t="s">
        <v>359</v>
      </c>
      <c r="I387" s="1" t="s">
        <v>19</v>
      </c>
      <c r="J387" s="1" t="s">
        <v>676</v>
      </c>
      <c r="K387" s="1" t="s">
        <v>1521</v>
      </c>
      <c r="L387" s="1" t="s">
        <v>1522</v>
      </c>
      <c r="M387" s="1" t="s">
        <v>22</v>
      </c>
      <c r="N387" s="1" t="s">
        <v>118</v>
      </c>
      <c r="O387" s="1" t="s">
        <v>254</v>
      </c>
      <c r="P387" s="1" t="s">
        <v>24</v>
      </c>
      <c r="Q387" s="1" t="s">
        <v>715</v>
      </c>
      <c r="R387" s="1" t="s">
        <v>1523</v>
      </c>
      <c r="S387" s="75">
        <v>43641</v>
      </c>
      <c r="T387" s="1">
        <v>0</v>
      </c>
      <c r="U387" s="1"/>
      <c r="V387" s="1" t="s">
        <v>27</v>
      </c>
      <c r="W387" s="1" t="s">
        <v>1830</v>
      </c>
      <c r="X387" s="1" t="s">
        <v>1836</v>
      </c>
      <c r="Y387" s="1" t="s">
        <v>1856</v>
      </c>
      <c r="Z387" s="1" t="s">
        <v>1836</v>
      </c>
      <c r="AA387" s="75">
        <v>45839</v>
      </c>
      <c r="AB387" s="75">
        <v>45839</v>
      </c>
      <c r="AC387" s="88">
        <v>1150000</v>
      </c>
      <c r="AD387" s="88">
        <v>5000000</v>
      </c>
    </row>
    <row r="388" spans="1:30" ht="17.399999999999999" customHeight="1" x14ac:dyDescent="0.4">
      <c r="A388" s="29">
        <v>385</v>
      </c>
      <c r="B388" s="29" t="str">
        <f t="shared" si="28"/>
        <v>387</v>
      </c>
      <c r="C388" s="29" t="str">
        <f t="shared" si="29"/>
        <v>C</v>
      </c>
      <c r="D388" s="29" t="str">
        <f t="shared" si="30"/>
        <v>B</v>
      </c>
      <c r="E388" s="29" t="str">
        <f t="shared" si="31"/>
        <v>F</v>
      </c>
      <c r="F388" s="1" t="s">
        <v>1749</v>
      </c>
      <c r="G388" s="1" t="s">
        <v>675</v>
      </c>
      <c r="H388" s="1" t="s">
        <v>359</v>
      </c>
      <c r="I388" s="1" t="s">
        <v>19</v>
      </c>
      <c r="J388" s="1" t="s">
        <v>676</v>
      </c>
      <c r="K388" s="1" t="s">
        <v>2003</v>
      </c>
      <c r="L388" s="1" t="s">
        <v>1524</v>
      </c>
      <c r="M388" s="1" t="s">
        <v>22</v>
      </c>
      <c r="N388" s="1" t="s">
        <v>118</v>
      </c>
      <c r="O388" s="1" t="s">
        <v>339</v>
      </c>
      <c r="P388" s="1" t="s">
        <v>24</v>
      </c>
      <c r="Q388" s="1" t="s">
        <v>1525</v>
      </c>
      <c r="R388" s="1" t="s">
        <v>1526</v>
      </c>
      <c r="S388" s="75">
        <v>43563</v>
      </c>
      <c r="T388" s="1">
        <v>0</v>
      </c>
      <c r="U388" s="1"/>
      <c r="V388" s="1" t="s">
        <v>27</v>
      </c>
      <c r="W388" s="1" t="s">
        <v>1830</v>
      </c>
      <c r="X388" s="1" t="s">
        <v>1836</v>
      </c>
      <c r="Y388" s="1" t="s">
        <v>1839</v>
      </c>
      <c r="Z388" s="1" t="s">
        <v>1836</v>
      </c>
      <c r="AA388" s="75">
        <v>45839</v>
      </c>
      <c r="AB388" s="75">
        <v>45839</v>
      </c>
      <c r="AC388" s="88">
        <v>1000000</v>
      </c>
      <c r="AD388" s="88">
        <v>5000000</v>
      </c>
    </row>
    <row r="389" spans="1:30" ht="17.399999999999999" customHeight="1" x14ac:dyDescent="0.4">
      <c r="A389" s="29">
        <v>386</v>
      </c>
      <c r="B389" s="29" t="str">
        <f t="shared" si="28"/>
        <v>388</v>
      </c>
      <c r="C389" s="29" t="str">
        <f t="shared" si="29"/>
        <v>C</v>
      </c>
      <c r="D389" s="29" t="str">
        <f t="shared" si="30"/>
        <v>B</v>
      </c>
      <c r="E389" s="29" t="str">
        <f t="shared" si="31"/>
        <v>F</v>
      </c>
      <c r="F389" s="1" t="s">
        <v>1750</v>
      </c>
      <c r="G389" s="1" t="s">
        <v>675</v>
      </c>
      <c r="H389" s="1" t="s">
        <v>359</v>
      </c>
      <c r="I389" s="1" t="s">
        <v>19</v>
      </c>
      <c r="J389" s="1" t="s">
        <v>676</v>
      </c>
      <c r="K389" s="1" t="s">
        <v>2004</v>
      </c>
      <c r="L389" s="1" t="s">
        <v>1527</v>
      </c>
      <c r="M389" s="1" t="s">
        <v>22</v>
      </c>
      <c r="N389" s="1" t="s">
        <v>118</v>
      </c>
      <c r="O389" s="1" t="s">
        <v>339</v>
      </c>
      <c r="P389" s="1" t="s">
        <v>24</v>
      </c>
      <c r="Q389" s="1" t="s">
        <v>1525</v>
      </c>
      <c r="R389" s="1" t="s">
        <v>1528</v>
      </c>
      <c r="S389" s="75">
        <v>43151</v>
      </c>
      <c r="T389" s="1">
        <v>0</v>
      </c>
      <c r="U389" s="1"/>
      <c r="V389" s="1" t="s">
        <v>27</v>
      </c>
      <c r="W389" s="1" t="s">
        <v>1830</v>
      </c>
      <c r="X389" s="1" t="s">
        <v>1836</v>
      </c>
      <c r="Y389" s="1" t="s">
        <v>1839</v>
      </c>
      <c r="Z389" s="1" t="s">
        <v>1836</v>
      </c>
      <c r="AA389" s="75">
        <v>45839</v>
      </c>
      <c r="AB389" s="75">
        <v>45839</v>
      </c>
      <c r="AC389" s="88">
        <v>1000000</v>
      </c>
      <c r="AD389" s="88">
        <v>5000000</v>
      </c>
    </row>
    <row r="390" spans="1:30" ht="17.399999999999999" customHeight="1" x14ac:dyDescent="0.4">
      <c r="A390" s="29">
        <v>387</v>
      </c>
      <c r="B390" s="29" t="str">
        <f t="shared" si="28"/>
        <v>389</v>
      </c>
      <c r="C390" s="29" t="str">
        <f t="shared" si="29"/>
        <v>C</v>
      </c>
      <c r="D390" s="29" t="str">
        <f t="shared" si="30"/>
        <v>B</v>
      </c>
      <c r="E390" s="29" t="str">
        <f t="shared" si="31"/>
        <v>F</v>
      </c>
      <c r="F390" s="1" t="s">
        <v>1698</v>
      </c>
      <c r="G390" s="1" t="s">
        <v>675</v>
      </c>
      <c r="H390" s="1" t="s">
        <v>359</v>
      </c>
      <c r="I390" s="1" t="s">
        <v>19</v>
      </c>
      <c r="J390" s="1" t="s">
        <v>676</v>
      </c>
      <c r="K390" s="1" t="s">
        <v>1529</v>
      </c>
      <c r="L390" s="1" t="s">
        <v>1530</v>
      </c>
      <c r="M390" s="1" t="s">
        <v>22</v>
      </c>
      <c r="N390" s="1" t="s">
        <v>118</v>
      </c>
      <c r="O390" s="1" t="s">
        <v>1114</v>
      </c>
      <c r="P390" s="1" t="s">
        <v>24</v>
      </c>
      <c r="Q390" s="1" t="s">
        <v>1699</v>
      </c>
      <c r="R390" s="1" t="s">
        <v>1700</v>
      </c>
      <c r="S390" s="75">
        <v>43641</v>
      </c>
      <c r="T390" s="1">
        <v>0</v>
      </c>
      <c r="U390" s="1"/>
      <c r="V390" s="1" t="s">
        <v>27</v>
      </c>
      <c r="W390" s="1" t="s">
        <v>1830</v>
      </c>
      <c r="X390" s="1" t="s">
        <v>1836</v>
      </c>
      <c r="Y390" s="1" t="s">
        <v>1856</v>
      </c>
      <c r="Z390" s="1" t="s">
        <v>1836</v>
      </c>
      <c r="AA390" s="75">
        <v>45839</v>
      </c>
      <c r="AB390" s="75">
        <v>45839</v>
      </c>
      <c r="AC390" s="88">
        <v>900000</v>
      </c>
      <c r="AD390" s="88">
        <v>5000000</v>
      </c>
    </row>
    <row r="391" spans="1:30" ht="17.399999999999999" customHeight="1" x14ac:dyDescent="0.4">
      <c r="A391" s="29">
        <v>388</v>
      </c>
      <c r="B391" s="29" t="str">
        <f t="shared" si="28"/>
        <v>390</v>
      </c>
      <c r="C391" s="29" t="str">
        <f t="shared" si="29"/>
        <v>C</v>
      </c>
      <c r="D391" s="29" t="str">
        <f t="shared" si="30"/>
        <v>B</v>
      </c>
      <c r="E391" s="29" t="str">
        <f t="shared" si="31"/>
        <v>F</v>
      </c>
      <c r="F391" s="1" t="s">
        <v>1531</v>
      </c>
      <c r="G391" s="1" t="s">
        <v>675</v>
      </c>
      <c r="H391" s="1" t="s">
        <v>359</v>
      </c>
      <c r="I391" s="1" t="s">
        <v>19</v>
      </c>
      <c r="J391" s="1" t="s">
        <v>676</v>
      </c>
      <c r="K391" s="1" t="s">
        <v>1532</v>
      </c>
      <c r="L391" s="1" t="s">
        <v>1533</v>
      </c>
      <c r="M391" s="1" t="s">
        <v>22</v>
      </c>
      <c r="N391" s="1" t="s">
        <v>81</v>
      </c>
      <c r="O391" s="1" t="s">
        <v>33</v>
      </c>
      <c r="P391" s="1" t="s">
        <v>24</v>
      </c>
      <c r="Q391" s="1" t="s">
        <v>724</v>
      </c>
      <c r="R391" s="1" t="s">
        <v>1534</v>
      </c>
      <c r="S391" s="75">
        <v>44942</v>
      </c>
      <c r="T391" s="1">
        <v>0</v>
      </c>
      <c r="U391" s="1"/>
      <c r="V391" s="1" t="s">
        <v>27</v>
      </c>
      <c r="W391" s="1" t="s">
        <v>1830</v>
      </c>
      <c r="X391" s="1" t="s">
        <v>1836</v>
      </c>
      <c r="Y391" s="1" t="s">
        <v>1856</v>
      </c>
      <c r="Z391" s="1" t="s">
        <v>1836</v>
      </c>
      <c r="AA391" s="75">
        <v>45839</v>
      </c>
      <c r="AB391" s="75">
        <v>45839</v>
      </c>
      <c r="AC391" s="88">
        <v>800000</v>
      </c>
      <c r="AD391" s="88">
        <v>16625000</v>
      </c>
    </row>
    <row r="392" spans="1:30" ht="17.399999999999999" customHeight="1" x14ac:dyDescent="0.4">
      <c r="A392" s="29">
        <v>389</v>
      </c>
      <c r="B392" s="29" t="str">
        <f t="shared" si="28"/>
        <v>391</v>
      </c>
      <c r="C392" s="29" t="str">
        <f t="shared" si="29"/>
        <v>C</v>
      </c>
      <c r="D392" s="29" t="str">
        <f t="shared" si="30"/>
        <v>B</v>
      </c>
      <c r="E392" s="29" t="str">
        <f t="shared" si="31"/>
        <v>F</v>
      </c>
      <c r="F392" s="1" t="s">
        <v>1535</v>
      </c>
      <c r="G392" s="1" t="s">
        <v>675</v>
      </c>
      <c r="H392" s="1" t="s">
        <v>359</v>
      </c>
      <c r="I392" s="1" t="s">
        <v>19</v>
      </c>
      <c r="J392" s="1" t="s">
        <v>676</v>
      </c>
      <c r="K392" s="1" t="s">
        <v>1434</v>
      </c>
      <c r="L392" s="1" t="s">
        <v>1536</v>
      </c>
      <c r="M392" s="1" t="s">
        <v>22</v>
      </c>
      <c r="N392" s="1" t="s">
        <v>81</v>
      </c>
      <c r="O392" s="1" t="s">
        <v>33</v>
      </c>
      <c r="P392" s="1" t="s">
        <v>24</v>
      </c>
      <c r="Q392" s="1" t="s">
        <v>724</v>
      </c>
      <c r="R392" s="1" t="s">
        <v>1537</v>
      </c>
      <c r="S392" s="75">
        <v>44595</v>
      </c>
      <c r="T392" s="1">
        <v>0</v>
      </c>
      <c r="U392" s="1"/>
      <c r="V392" s="1" t="s">
        <v>27</v>
      </c>
      <c r="W392" s="1" t="s">
        <v>1830</v>
      </c>
      <c r="X392" s="1" t="s">
        <v>1836</v>
      </c>
      <c r="Y392" s="1" t="s">
        <v>1856</v>
      </c>
      <c r="Z392" s="1" t="s">
        <v>1836</v>
      </c>
      <c r="AA392" s="75">
        <v>45839</v>
      </c>
      <c r="AB392" s="75">
        <v>45839</v>
      </c>
      <c r="AC392" s="88">
        <v>800000</v>
      </c>
      <c r="AD392" s="88">
        <v>10758000</v>
      </c>
    </row>
    <row r="393" spans="1:30" ht="17.399999999999999" customHeight="1" x14ac:dyDescent="0.4">
      <c r="A393" s="29">
        <v>390</v>
      </c>
      <c r="B393" s="29" t="str">
        <f t="shared" si="28"/>
        <v>392</v>
      </c>
      <c r="C393" s="29" t="str">
        <f t="shared" si="29"/>
        <v>C</v>
      </c>
      <c r="D393" s="29" t="str">
        <f t="shared" si="30"/>
        <v>B</v>
      </c>
      <c r="E393" s="29" t="str">
        <f t="shared" si="31"/>
        <v>F</v>
      </c>
      <c r="F393" s="1" t="s">
        <v>1538</v>
      </c>
      <c r="G393" s="1" t="s">
        <v>675</v>
      </c>
      <c r="H393" s="1" t="s">
        <v>359</v>
      </c>
      <c r="I393" s="1" t="s">
        <v>19</v>
      </c>
      <c r="J393" s="1" t="s">
        <v>676</v>
      </c>
      <c r="K393" s="1" t="s">
        <v>1539</v>
      </c>
      <c r="L393" s="1" t="s">
        <v>1540</v>
      </c>
      <c r="M393" s="1" t="s">
        <v>22</v>
      </c>
      <c r="N393" s="1" t="s">
        <v>81</v>
      </c>
      <c r="O393" s="1" t="s">
        <v>33</v>
      </c>
      <c r="P393" s="1" t="s">
        <v>24</v>
      </c>
      <c r="Q393" s="1" t="s">
        <v>724</v>
      </c>
      <c r="R393" s="1" t="s">
        <v>1541</v>
      </c>
      <c r="S393" s="75">
        <v>44595</v>
      </c>
      <c r="T393" s="1">
        <v>0</v>
      </c>
      <c r="U393" s="1"/>
      <c r="V393" s="1" t="s">
        <v>27</v>
      </c>
      <c r="W393" s="1" t="s">
        <v>1830</v>
      </c>
      <c r="X393" s="1" t="s">
        <v>1836</v>
      </c>
      <c r="Y393" s="1" t="s">
        <v>1856</v>
      </c>
      <c r="Z393" s="1" t="s">
        <v>1836</v>
      </c>
      <c r="AA393" s="75">
        <v>45839</v>
      </c>
      <c r="AB393" s="75">
        <v>45839</v>
      </c>
      <c r="AC393" s="88">
        <v>800000</v>
      </c>
      <c r="AD393" s="88">
        <v>10758000</v>
      </c>
    </row>
    <row r="394" spans="1:30" ht="17.399999999999999" customHeight="1" x14ac:dyDescent="0.4">
      <c r="A394" s="29">
        <v>391</v>
      </c>
      <c r="B394" s="29" t="str">
        <f t="shared" si="28"/>
        <v>393</v>
      </c>
      <c r="C394" s="29" t="str">
        <f t="shared" si="29"/>
        <v>C</v>
      </c>
      <c r="D394" s="29" t="str">
        <f t="shared" si="30"/>
        <v>B</v>
      </c>
      <c r="E394" s="29" t="str">
        <f t="shared" si="31"/>
        <v>F</v>
      </c>
      <c r="F394" s="1" t="s">
        <v>1542</v>
      </c>
      <c r="G394" s="1" t="s">
        <v>675</v>
      </c>
      <c r="H394" s="1" t="s">
        <v>359</v>
      </c>
      <c r="I394" s="1" t="s">
        <v>19</v>
      </c>
      <c r="J394" s="1" t="s">
        <v>676</v>
      </c>
      <c r="K394" s="1" t="s">
        <v>1543</v>
      </c>
      <c r="L394" s="1" t="s">
        <v>1544</v>
      </c>
      <c r="M394" s="1" t="s">
        <v>22</v>
      </c>
      <c r="N394" s="1" t="s">
        <v>81</v>
      </c>
      <c r="O394" s="1" t="s">
        <v>33</v>
      </c>
      <c r="P394" s="1" t="s">
        <v>24</v>
      </c>
      <c r="Q394" s="1" t="s">
        <v>724</v>
      </c>
      <c r="R394" s="1" t="s">
        <v>1545</v>
      </c>
      <c r="S394" s="75">
        <v>45841</v>
      </c>
      <c r="T394" s="1">
        <v>0</v>
      </c>
      <c r="U394" s="1"/>
      <c r="V394" s="1" t="s">
        <v>27</v>
      </c>
      <c r="W394" s="1" t="s">
        <v>1830</v>
      </c>
      <c r="X394" s="1" t="s">
        <v>1836</v>
      </c>
      <c r="Y394" s="1" t="s">
        <v>1856</v>
      </c>
      <c r="Z394" s="1" t="s">
        <v>1836</v>
      </c>
      <c r="AA394" s="75">
        <v>45839</v>
      </c>
      <c r="AB394" s="75">
        <v>45839</v>
      </c>
      <c r="AC394" s="88">
        <v>800000</v>
      </c>
      <c r="AD394" s="88">
        <v>10758000</v>
      </c>
    </row>
    <row r="395" spans="1:30" ht="17.399999999999999" customHeight="1" x14ac:dyDescent="0.4">
      <c r="A395" s="29">
        <v>392</v>
      </c>
      <c r="B395" s="29" t="str">
        <f t="shared" si="28"/>
        <v>394</v>
      </c>
      <c r="C395" s="29" t="str">
        <f t="shared" si="29"/>
        <v>C</v>
      </c>
      <c r="D395" s="29" t="str">
        <f t="shared" si="30"/>
        <v>B</v>
      </c>
      <c r="E395" s="29" t="str">
        <f t="shared" si="31"/>
        <v>F</v>
      </c>
      <c r="F395" s="1" t="s">
        <v>1546</v>
      </c>
      <c r="G395" s="1" t="s">
        <v>675</v>
      </c>
      <c r="H395" s="1" t="s">
        <v>359</v>
      </c>
      <c r="I395" s="1" t="s">
        <v>19</v>
      </c>
      <c r="J395" s="1" t="s">
        <v>676</v>
      </c>
      <c r="K395" s="1" t="s">
        <v>1547</v>
      </c>
      <c r="L395" s="1" t="s">
        <v>1548</v>
      </c>
      <c r="M395" s="1" t="s">
        <v>22</v>
      </c>
      <c r="N395" s="1" t="s">
        <v>81</v>
      </c>
      <c r="O395" s="1" t="s">
        <v>33</v>
      </c>
      <c r="P395" s="1" t="s">
        <v>24</v>
      </c>
      <c r="Q395" s="1" t="s">
        <v>724</v>
      </c>
      <c r="R395" s="1" t="s">
        <v>1549</v>
      </c>
      <c r="S395" s="75">
        <v>44474</v>
      </c>
      <c r="T395" s="1">
        <v>0</v>
      </c>
      <c r="U395" s="1"/>
      <c r="V395" s="1" t="s">
        <v>27</v>
      </c>
      <c r="W395" s="1" t="s">
        <v>1830</v>
      </c>
      <c r="X395" s="1" t="s">
        <v>1836</v>
      </c>
      <c r="Y395" s="1" t="s">
        <v>1856</v>
      </c>
      <c r="Z395" s="1" t="s">
        <v>1836</v>
      </c>
      <c r="AA395" s="75">
        <v>45839</v>
      </c>
      <c r="AB395" s="75">
        <v>45839</v>
      </c>
      <c r="AC395" s="88">
        <v>800000</v>
      </c>
      <c r="AD395" s="88">
        <v>9125000</v>
      </c>
    </row>
    <row r="396" spans="1:30" ht="17.399999999999999" customHeight="1" x14ac:dyDescent="0.4">
      <c r="A396" s="29">
        <v>393</v>
      </c>
      <c r="B396" s="29" t="str">
        <f t="shared" si="28"/>
        <v>395</v>
      </c>
      <c r="C396" s="29" t="str">
        <f t="shared" si="29"/>
        <v>C</v>
      </c>
      <c r="D396" s="29" t="str">
        <f t="shared" si="30"/>
        <v>B</v>
      </c>
      <c r="E396" s="29" t="str">
        <f t="shared" si="31"/>
        <v>F</v>
      </c>
      <c r="F396" s="1" t="s">
        <v>1550</v>
      </c>
      <c r="G396" s="1" t="s">
        <v>675</v>
      </c>
      <c r="H396" s="1" t="s">
        <v>359</v>
      </c>
      <c r="I396" s="1" t="s">
        <v>19</v>
      </c>
      <c r="J396" s="1" t="s">
        <v>676</v>
      </c>
      <c r="K396" s="1" t="s">
        <v>1551</v>
      </c>
      <c r="L396" s="1" t="s">
        <v>1552</v>
      </c>
      <c r="M396" s="1" t="s">
        <v>22</v>
      </c>
      <c r="N396" s="1" t="s">
        <v>81</v>
      </c>
      <c r="O396" s="1" t="s">
        <v>33</v>
      </c>
      <c r="P396" s="1" t="s">
        <v>24</v>
      </c>
      <c r="Q396" s="1" t="s">
        <v>724</v>
      </c>
      <c r="R396" s="1" t="s">
        <v>1553</v>
      </c>
      <c r="S396" s="75">
        <v>44425</v>
      </c>
      <c r="T396" s="1">
        <v>0</v>
      </c>
      <c r="U396" s="1"/>
      <c r="V396" s="1" t="s">
        <v>27</v>
      </c>
      <c r="W396" s="1" t="s">
        <v>1830</v>
      </c>
      <c r="X396" s="1" t="s">
        <v>1836</v>
      </c>
      <c r="Y396" s="1" t="s">
        <v>1856</v>
      </c>
      <c r="Z396" s="1" t="s">
        <v>1836</v>
      </c>
      <c r="AA396" s="75">
        <v>45839</v>
      </c>
      <c r="AB396" s="75">
        <v>45839</v>
      </c>
      <c r="AC396" s="88">
        <v>800000</v>
      </c>
      <c r="AD396" s="88">
        <v>8308000</v>
      </c>
    </row>
    <row r="397" spans="1:30" ht="17.399999999999999" customHeight="1" x14ac:dyDescent="0.4">
      <c r="A397" s="29">
        <v>394</v>
      </c>
      <c r="B397" s="29" t="str">
        <f t="shared" si="28"/>
        <v>396</v>
      </c>
      <c r="C397" s="29" t="str">
        <f t="shared" si="29"/>
        <v>C</v>
      </c>
      <c r="D397" s="29" t="str">
        <f t="shared" si="30"/>
        <v>B</v>
      </c>
      <c r="E397" s="29" t="str">
        <f t="shared" si="31"/>
        <v>F</v>
      </c>
      <c r="F397" s="1" t="s">
        <v>1554</v>
      </c>
      <c r="G397" s="1" t="s">
        <v>675</v>
      </c>
      <c r="H397" s="1" t="s">
        <v>359</v>
      </c>
      <c r="I397" s="1" t="s">
        <v>19</v>
      </c>
      <c r="J397" s="1" t="s">
        <v>676</v>
      </c>
      <c r="K397" s="1" t="s">
        <v>1555</v>
      </c>
      <c r="L397" s="1" t="s">
        <v>1556</v>
      </c>
      <c r="M397" s="1" t="s">
        <v>22</v>
      </c>
      <c r="N397" s="1" t="s">
        <v>81</v>
      </c>
      <c r="O397" s="1" t="s">
        <v>33</v>
      </c>
      <c r="P397" s="1" t="s">
        <v>24</v>
      </c>
      <c r="Q397" s="1" t="s">
        <v>724</v>
      </c>
      <c r="R397" s="1" t="s">
        <v>1557</v>
      </c>
      <c r="S397" s="75">
        <v>44425</v>
      </c>
      <c r="T397" s="1">
        <v>0</v>
      </c>
      <c r="U397" s="1"/>
      <c r="V397" s="1" t="s">
        <v>27</v>
      </c>
      <c r="W397" s="1" t="s">
        <v>1830</v>
      </c>
      <c r="X397" s="1" t="s">
        <v>1836</v>
      </c>
      <c r="Y397" s="1" t="s">
        <v>1856</v>
      </c>
      <c r="Z397" s="1" t="s">
        <v>1836</v>
      </c>
      <c r="AA397" s="75">
        <v>45839</v>
      </c>
      <c r="AB397" s="75">
        <v>45839</v>
      </c>
      <c r="AC397" s="88">
        <v>800000</v>
      </c>
      <c r="AD397" s="88">
        <v>8308000</v>
      </c>
    </row>
    <row r="398" spans="1:30" ht="17.399999999999999" customHeight="1" x14ac:dyDescent="0.4">
      <c r="A398" s="29">
        <v>395</v>
      </c>
      <c r="B398" s="29" t="str">
        <f t="shared" si="28"/>
        <v>397</v>
      </c>
      <c r="C398" s="29" t="str">
        <f t="shared" si="29"/>
        <v>C</v>
      </c>
      <c r="D398" s="29" t="str">
        <f t="shared" si="30"/>
        <v>B</v>
      </c>
      <c r="E398" s="29" t="str">
        <f t="shared" si="31"/>
        <v>F</v>
      </c>
      <c r="F398" s="1" t="s">
        <v>1558</v>
      </c>
      <c r="G398" s="1" t="s">
        <v>675</v>
      </c>
      <c r="H398" s="1" t="s">
        <v>359</v>
      </c>
      <c r="I398" s="1" t="s">
        <v>19</v>
      </c>
      <c r="J398" s="1" t="s">
        <v>676</v>
      </c>
      <c r="K398" s="1" t="s">
        <v>1559</v>
      </c>
      <c r="L398" s="1" t="s">
        <v>1560</v>
      </c>
      <c r="M398" s="1" t="s">
        <v>22</v>
      </c>
      <c r="N398" s="1" t="s">
        <v>81</v>
      </c>
      <c r="O398" s="1" t="s">
        <v>33</v>
      </c>
      <c r="P398" s="1" t="s">
        <v>24</v>
      </c>
      <c r="Q398" s="1" t="s">
        <v>724</v>
      </c>
      <c r="R398" s="1" t="s">
        <v>1561</v>
      </c>
      <c r="S398" s="75">
        <v>44386</v>
      </c>
      <c r="T398" s="1">
        <v>0</v>
      </c>
      <c r="U398" s="1"/>
      <c r="V398" s="1" t="s">
        <v>27</v>
      </c>
      <c r="W398" s="1" t="s">
        <v>1830</v>
      </c>
      <c r="X398" s="1" t="s">
        <v>1836</v>
      </c>
      <c r="Y398" s="1" t="s">
        <v>1856</v>
      </c>
      <c r="Z398" s="1" t="s">
        <v>1836</v>
      </c>
      <c r="AA398" s="75">
        <v>45839</v>
      </c>
      <c r="AB398" s="75">
        <v>45839</v>
      </c>
      <c r="AC398" s="88">
        <v>800000</v>
      </c>
      <c r="AD398" s="88">
        <v>7900000</v>
      </c>
    </row>
    <row r="399" spans="1:30" ht="17.399999999999999" customHeight="1" x14ac:dyDescent="0.4">
      <c r="A399" s="29">
        <v>396</v>
      </c>
      <c r="B399" s="29" t="str">
        <f t="shared" si="28"/>
        <v>398</v>
      </c>
      <c r="C399" s="29" t="str">
        <f t="shared" si="29"/>
        <v>C</v>
      </c>
      <c r="D399" s="29" t="str">
        <f t="shared" si="30"/>
        <v>B</v>
      </c>
      <c r="E399" s="29" t="str">
        <f t="shared" si="31"/>
        <v>F</v>
      </c>
      <c r="F399" s="1" t="s">
        <v>1562</v>
      </c>
      <c r="G399" s="1" t="s">
        <v>675</v>
      </c>
      <c r="H399" s="1" t="s">
        <v>359</v>
      </c>
      <c r="I399" s="1" t="s">
        <v>19</v>
      </c>
      <c r="J399" s="1" t="s">
        <v>676</v>
      </c>
      <c r="K399" s="1" t="s">
        <v>1563</v>
      </c>
      <c r="L399" s="1" t="s">
        <v>1564</v>
      </c>
      <c r="M399" s="1" t="s">
        <v>22</v>
      </c>
      <c r="N399" s="1" t="s">
        <v>81</v>
      </c>
      <c r="O399" s="1" t="s">
        <v>33</v>
      </c>
      <c r="P399" s="1" t="s">
        <v>24</v>
      </c>
      <c r="Q399" s="1" t="s">
        <v>724</v>
      </c>
      <c r="R399" s="1" t="s">
        <v>1565</v>
      </c>
      <c r="S399" s="75">
        <v>43634</v>
      </c>
      <c r="T399" s="1">
        <v>0</v>
      </c>
      <c r="U399" s="1"/>
      <c r="V399" s="1" t="s">
        <v>27</v>
      </c>
      <c r="W399" s="1" t="s">
        <v>1830</v>
      </c>
      <c r="X399" s="1" t="s">
        <v>1836</v>
      </c>
      <c r="Y399" s="1" t="s">
        <v>1856</v>
      </c>
      <c r="Z399" s="1" t="s">
        <v>1836</v>
      </c>
      <c r="AA399" s="75">
        <v>45839</v>
      </c>
      <c r="AB399" s="75">
        <v>45839</v>
      </c>
      <c r="AC399" s="88">
        <v>800000</v>
      </c>
      <c r="AD399" s="88">
        <v>3000000</v>
      </c>
    </row>
    <row r="400" spans="1:30" ht="17.399999999999999" customHeight="1" x14ac:dyDescent="0.4">
      <c r="A400" s="29">
        <v>397</v>
      </c>
      <c r="B400" s="29" t="str">
        <f t="shared" si="28"/>
        <v>399</v>
      </c>
      <c r="C400" s="29" t="str">
        <f t="shared" si="29"/>
        <v>C</v>
      </c>
      <c r="D400" s="29" t="str">
        <f t="shared" si="30"/>
        <v>B</v>
      </c>
      <c r="E400" s="29" t="str">
        <f t="shared" si="31"/>
        <v>F</v>
      </c>
      <c r="F400" s="1" t="s">
        <v>1566</v>
      </c>
      <c r="G400" s="1" t="s">
        <v>675</v>
      </c>
      <c r="H400" s="1" t="s">
        <v>359</v>
      </c>
      <c r="I400" s="1" t="s">
        <v>19</v>
      </c>
      <c r="J400" s="1" t="s">
        <v>676</v>
      </c>
      <c r="K400" s="1" t="s">
        <v>1567</v>
      </c>
      <c r="L400" s="1" t="s">
        <v>1568</v>
      </c>
      <c r="M400" s="1" t="s">
        <v>22</v>
      </c>
      <c r="N400" s="1" t="s">
        <v>81</v>
      </c>
      <c r="O400" s="1" t="s">
        <v>33</v>
      </c>
      <c r="P400" s="1" t="s">
        <v>24</v>
      </c>
      <c r="Q400" s="1" t="s">
        <v>724</v>
      </c>
      <c r="R400" s="1" t="s">
        <v>1569</v>
      </c>
      <c r="S400" s="75">
        <v>43634</v>
      </c>
      <c r="T400" s="1">
        <v>0</v>
      </c>
      <c r="U400" s="1"/>
      <c r="V400" s="1" t="s">
        <v>27</v>
      </c>
      <c r="W400" s="1" t="s">
        <v>1830</v>
      </c>
      <c r="X400" s="1" t="s">
        <v>1836</v>
      </c>
      <c r="Y400" s="1" t="s">
        <v>1856</v>
      </c>
      <c r="Z400" s="1" t="s">
        <v>1836</v>
      </c>
      <c r="AA400" s="75">
        <v>45839</v>
      </c>
      <c r="AB400" s="75">
        <v>45839</v>
      </c>
      <c r="AC400" s="88">
        <v>800000</v>
      </c>
      <c r="AD400" s="88">
        <v>3000000</v>
      </c>
    </row>
    <row r="401" spans="1:30" ht="17.399999999999999" customHeight="1" x14ac:dyDescent="0.4">
      <c r="A401" s="29">
        <v>398</v>
      </c>
      <c r="B401" s="29" t="str">
        <f t="shared" si="28"/>
        <v>400</v>
      </c>
      <c r="C401" s="29" t="str">
        <f t="shared" si="29"/>
        <v>C</v>
      </c>
      <c r="D401" s="29" t="str">
        <f t="shared" si="30"/>
        <v>B</v>
      </c>
      <c r="E401" s="29" t="str">
        <f t="shared" si="31"/>
        <v>F</v>
      </c>
      <c r="F401" s="1" t="s">
        <v>1570</v>
      </c>
      <c r="G401" s="1" t="s">
        <v>675</v>
      </c>
      <c r="H401" s="1" t="s">
        <v>359</v>
      </c>
      <c r="I401" s="1" t="s">
        <v>19</v>
      </c>
      <c r="J401" s="1" t="s">
        <v>676</v>
      </c>
      <c r="K401" s="1" t="s">
        <v>1571</v>
      </c>
      <c r="L401" s="1" t="s">
        <v>1572</v>
      </c>
      <c r="M401" s="1" t="s">
        <v>22</v>
      </c>
      <c r="N401" s="1" t="s">
        <v>81</v>
      </c>
      <c r="O401" s="1" t="s">
        <v>33</v>
      </c>
      <c r="P401" s="1" t="s">
        <v>24</v>
      </c>
      <c r="Q401" s="1" t="s">
        <v>724</v>
      </c>
      <c r="R401" s="1" t="s">
        <v>1573</v>
      </c>
      <c r="S401" s="75">
        <v>43634</v>
      </c>
      <c r="T401" s="1">
        <v>0</v>
      </c>
      <c r="U401" s="1"/>
      <c r="V401" s="1" t="s">
        <v>27</v>
      </c>
      <c r="W401" s="1" t="s">
        <v>1830</v>
      </c>
      <c r="X401" s="1" t="s">
        <v>1836</v>
      </c>
      <c r="Y401" s="1" t="s">
        <v>1856</v>
      </c>
      <c r="Z401" s="1" t="s">
        <v>1836</v>
      </c>
      <c r="AA401" s="75">
        <v>45839</v>
      </c>
      <c r="AB401" s="75">
        <v>45839</v>
      </c>
      <c r="AC401" s="88">
        <v>800000</v>
      </c>
      <c r="AD401" s="88">
        <v>3000000</v>
      </c>
    </row>
    <row r="402" spans="1:30" ht="17.399999999999999" customHeight="1" x14ac:dyDescent="0.4">
      <c r="A402" s="29">
        <v>399</v>
      </c>
      <c r="B402" s="29" t="str">
        <f t="shared" si="28"/>
        <v>401</v>
      </c>
      <c r="C402" s="29" t="str">
        <f t="shared" si="29"/>
        <v>C</v>
      </c>
      <c r="D402" s="29" t="str">
        <f t="shared" si="30"/>
        <v>B</v>
      </c>
      <c r="E402" s="29" t="str">
        <f t="shared" si="31"/>
        <v>F</v>
      </c>
      <c r="F402" s="1" t="s">
        <v>1574</v>
      </c>
      <c r="G402" s="1" t="s">
        <v>675</v>
      </c>
      <c r="H402" s="1" t="s">
        <v>359</v>
      </c>
      <c r="I402" s="1" t="s">
        <v>19</v>
      </c>
      <c r="J402" s="1" t="s">
        <v>676</v>
      </c>
      <c r="K402" s="1" t="s">
        <v>1575</v>
      </c>
      <c r="L402" s="1" t="s">
        <v>1576</v>
      </c>
      <c r="M402" s="1" t="s">
        <v>22</v>
      </c>
      <c r="N402" s="1" t="s">
        <v>81</v>
      </c>
      <c r="O402" s="1" t="s">
        <v>33</v>
      </c>
      <c r="P402" s="1" t="s">
        <v>24</v>
      </c>
      <c r="Q402" s="1" t="s">
        <v>724</v>
      </c>
      <c r="R402" s="1" t="s">
        <v>1577</v>
      </c>
      <c r="S402" s="75">
        <v>43634</v>
      </c>
      <c r="T402" s="1">
        <v>0</v>
      </c>
      <c r="U402" s="1"/>
      <c r="V402" s="1" t="s">
        <v>27</v>
      </c>
      <c r="W402" s="1" t="s">
        <v>1830</v>
      </c>
      <c r="X402" s="1" t="s">
        <v>1836</v>
      </c>
      <c r="Y402" s="1" t="s">
        <v>1856</v>
      </c>
      <c r="Z402" s="1" t="s">
        <v>1836</v>
      </c>
      <c r="AA402" s="75">
        <v>45839</v>
      </c>
      <c r="AB402" s="75">
        <v>45839</v>
      </c>
      <c r="AC402" s="88">
        <v>800000</v>
      </c>
      <c r="AD402" s="88">
        <v>3000000</v>
      </c>
    </row>
    <row r="403" spans="1:30" ht="17.399999999999999" customHeight="1" x14ac:dyDescent="0.4">
      <c r="A403" s="29">
        <v>400</v>
      </c>
      <c r="B403" s="29" t="str">
        <f t="shared" si="28"/>
        <v>402</v>
      </c>
      <c r="C403" s="29" t="str">
        <f t="shared" si="29"/>
        <v>C</v>
      </c>
      <c r="D403" s="29" t="str">
        <f t="shared" si="30"/>
        <v>B</v>
      </c>
      <c r="E403" s="29" t="str">
        <f t="shared" si="31"/>
        <v>F</v>
      </c>
      <c r="F403" s="1" t="s">
        <v>1578</v>
      </c>
      <c r="G403" s="1" t="s">
        <v>675</v>
      </c>
      <c r="H403" s="1" t="s">
        <v>359</v>
      </c>
      <c r="I403" s="1" t="s">
        <v>19</v>
      </c>
      <c r="J403" s="1" t="s">
        <v>676</v>
      </c>
      <c r="K403" s="1" t="s">
        <v>1579</v>
      </c>
      <c r="L403" s="1" t="s">
        <v>1580</v>
      </c>
      <c r="M403" s="1" t="s">
        <v>22</v>
      </c>
      <c r="N403" s="1" t="s">
        <v>81</v>
      </c>
      <c r="O403" s="1" t="s">
        <v>33</v>
      </c>
      <c r="P403" s="1" t="s">
        <v>24</v>
      </c>
      <c r="Q403" s="1" t="s">
        <v>724</v>
      </c>
      <c r="R403" s="1" t="s">
        <v>1581</v>
      </c>
      <c r="S403" s="75">
        <v>43201</v>
      </c>
      <c r="T403" s="1">
        <v>0</v>
      </c>
      <c r="U403" s="1"/>
      <c r="V403" s="1" t="s">
        <v>27</v>
      </c>
      <c r="W403" s="1" t="s">
        <v>1830</v>
      </c>
      <c r="X403" s="1" t="s">
        <v>1836</v>
      </c>
      <c r="Y403" s="1" t="s">
        <v>1856</v>
      </c>
      <c r="Z403" s="1" t="s">
        <v>1836</v>
      </c>
      <c r="AA403" s="75">
        <v>45839</v>
      </c>
      <c r="AB403" s="75">
        <v>45839</v>
      </c>
      <c r="AC403" s="88">
        <v>800000</v>
      </c>
      <c r="AD403" s="88">
        <v>3000000</v>
      </c>
    </row>
    <row r="404" spans="1:30" ht="17.399999999999999" customHeight="1" x14ac:dyDescent="0.4">
      <c r="A404" s="29">
        <v>401</v>
      </c>
      <c r="B404" s="29" t="str">
        <f t="shared" si="28"/>
        <v>403</v>
      </c>
      <c r="C404" s="29" t="str">
        <f t="shared" si="29"/>
        <v>C</v>
      </c>
      <c r="D404" s="29" t="str">
        <f t="shared" si="30"/>
        <v>B</v>
      </c>
      <c r="E404" s="29" t="str">
        <f t="shared" si="31"/>
        <v>F</v>
      </c>
      <c r="F404" s="1" t="s">
        <v>1582</v>
      </c>
      <c r="G404" s="1" t="s">
        <v>675</v>
      </c>
      <c r="H404" s="1" t="s">
        <v>359</v>
      </c>
      <c r="I404" s="1" t="s">
        <v>19</v>
      </c>
      <c r="J404" s="1" t="s">
        <v>676</v>
      </c>
      <c r="K404" s="1" t="s">
        <v>1547</v>
      </c>
      <c r="L404" s="1" t="s">
        <v>1583</v>
      </c>
      <c r="M404" s="1" t="s">
        <v>22</v>
      </c>
      <c r="N404" s="1" t="s">
        <v>81</v>
      </c>
      <c r="O404" s="1" t="s">
        <v>33</v>
      </c>
      <c r="P404" s="1" t="s">
        <v>24</v>
      </c>
      <c r="Q404" s="1" t="s">
        <v>724</v>
      </c>
      <c r="R404" s="1" t="s">
        <v>1584</v>
      </c>
      <c r="S404" s="75">
        <v>43201</v>
      </c>
      <c r="T404" s="1">
        <v>0</v>
      </c>
      <c r="U404" s="1"/>
      <c r="V404" s="1" t="s">
        <v>27</v>
      </c>
      <c r="W404" s="1" t="s">
        <v>1830</v>
      </c>
      <c r="X404" s="1" t="s">
        <v>1836</v>
      </c>
      <c r="Y404" s="1" t="s">
        <v>1856</v>
      </c>
      <c r="Z404" s="1" t="s">
        <v>1836</v>
      </c>
      <c r="AA404" s="75">
        <v>45839</v>
      </c>
      <c r="AB404" s="75">
        <v>45839</v>
      </c>
      <c r="AC404" s="88">
        <v>800000</v>
      </c>
      <c r="AD404" s="88">
        <v>3000000</v>
      </c>
    </row>
    <row r="405" spans="1:30" ht="17.399999999999999" customHeight="1" x14ac:dyDescent="0.4">
      <c r="A405" s="29">
        <v>402</v>
      </c>
      <c r="B405" s="29" t="str">
        <f t="shared" si="28"/>
        <v>404</v>
      </c>
      <c r="C405" s="29" t="str">
        <f t="shared" si="29"/>
        <v>C</v>
      </c>
      <c r="D405" s="29" t="str">
        <f t="shared" si="30"/>
        <v>B</v>
      </c>
      <c r="E405" s="29" t="str">
        <f t="shared" si="31"/>
        <v>F</v>
      </c>
      <c r="F405" s="1" t="s">
        <v>1585</v>
      </c>
      <c r="G405" s="1" t="s">
        <v>675</v>
      </c>
      <c r="H405" s="1" t="s">
        <v>359</v>
      </c>
      <c r="I405" s="1" t="s">
        <v>19</v>
      </c>
      <c r="J405" s="1" t="s">
        <v>676</v>
      </c>
      <c r="K405" s="1" t="s">
        <v>1586</v>
      </c>
      <c r="L405" s="1" t="s">
        <v>1587</v>
      </c>
      <c r="M405" s="1" t="s">
        <v>22</v>
      </c>
      <c r="N405" s="1" t="s">
        <v>81</v>
      </c>
      <c r="O405" s="1" t="s">
        <v>33</v>
      </c>
      <c r="P405" s="1" t="s">
        <v>24</v>
      </c>
      <c r="Q405" s="1" t="s">
        <v>724</v>
      </c>
      <c r="R405" s="1" t="s">
        <v>1588</v>
      </c>
      <c r="S405" s="75">
        <v>43201</v>
      </c>
      <c r="T405" s="1">
        <v>0</v>
      </c>
      <c r="U405" s="1"/>
      <c r="V405" s="1" t="s">
        <v>27</v>
      </c>
      <c r="W405" s="1" t="s">
        <v>1830</v>
      </c>
      <c r="X405" s="1" t="s">
        <v>1836</v>
      </c>
      <c r="Y405" s="1" t="s">
        <v>1856</v>
      </c>
      <c r="Z405" s="1" t="s">
        <v>1836</v>
      </c>
      <c r="AA405" s="75">
        <v>45839</v>
      </c>
      <c r="AB405" s="75">
        <v>45839</v>
      </c>
      <c r="AC405" s="88">
        <v>800000</v>
      </c>
      <c r="AD405" s="88">
        <v>3000000</v>
      </c>
    </row>
    <row r="406" spans="1:30" ht="17.399999999999999" customHeight="1" x14ac:dyDescent="0.4">
      <c r="A406" s="29">
        <v>403</v>
      </c>
      <c r="B406" s="29" t="str">
        <f t="shared" si="28"/>
        <v>405</v>
      </c>
      <c r="C406" s="29" t="str">
        <f t="shared" si="29"/>
        <v>C</v>
      </c>
      <c r="D406" s="29" t="str">
        <f t="shared" si="30"/>
        <v>B</v>
      </c>
      <c r="E406" s="29" t="str">
        <f t="shared" si="31"/>
        <v>F</v>
      </c>
      <c r="F406" s="1" t="s">
        <v>1589</v>
      </c>
      <c r="G406" s="1" t="s">
        <v>675</v>
      </c>
      <c r="H406" s="1" t="s">
        <v>359</v>
      </c>
      <c r="I406" s="1" t="s">
        <v>19</v>
      </c>
      <c r="J406" s="1" t="s">
        <v>676</v>
      </c>
      <c r="K406" s="1" t="s">
        <v>1590</v>
      </c>
      <c r="L406" s="1" t="s">
        <v>1591</v>
      </c>
      <c r="M406" s="1" t="s">
        <v>22</v>
      </c>
      <c r="N406" s="1" t="s">
        <v>81</v>
      </c>
      <c r="O406" s="1" t="s">
        <v>33</v>
      </c>
      <c r="P406" s="1" t="s">
        <v>24</v>
      </c>
      <c r="Q406" s="1" t="s">
        <v>724</v>
      </c>
      <c r="R406" s="1" t="s">
        <v>1592</v>
      </c>
      <c r="S406" s="75">
        <v>43201</v>
      </c>
      <c r="T406" s="1">
        <v>0</v>
      </c>
      <c r="U406" s="1"/>
      <c r="V406" s="1" t="s">
        <v>27</v>
      </c>
      <c r="W406" s="1" t="s">
        <v>1830</v>
      </c>
      <c r="X406" s="1" t="s">
        <v>1836</v>
      </c>
      <c r="Y406" s="1" t="s">
        <v>1856</v>
      </c>
      <c r="Z406" s="1" t="s">
        <v>1836</v>
      </c>
      <c r="AA406" s="75">
        <v>45839</v>
      </c>
      <c r="AB406" s="75">
        <v>45839</v>
      </c>
      <c r="AC406" s="88">
        <v>800000</v>
      </c>
      <c r="AD406" s="88">
        <v>3000000</v>
      </c>
    </row>
    <row r="407" spans="1:30" ht="17.399999999999999" customHeight="1" x14ac:dyDescent="0.4">
      <c r="A407" s="29">
        <v>404</v>
      </c>
      <c r="B407" s="29" t="str">
        <f t="shared" si="28"/>
        <v>406</v>
      </c>
      <c r="C407" s="29" t="str">
        <f t="shared" si="29"/>
        <v>C</v>
      </c>
      <c r="D407" s="29" t="str">
        <f t="shared" si="30"/>
        <v>B</v>
      </c>
      <c r="E407" s="29" t="str">
        <f t="shared" si="31"/>
        <v>F</v>
      </c>
      <c r="F407" s="1" t="s">
        <v>1593</v>
      </c>
      <c r="G407" s="1" t="s">
        <v>675</v>
      </c>
      <c r="H407" s="1" t="s">
        <v>359</v>
      </c>
      <c r="I407" s="1" t="s">
        <v>19</v>
      </c>
      <c r="J407" s="1" t="s">
        <v>676</v>
      </c>
      <c r="K407" s="1" t="s">
        <v>1594</v>
      </c>
      <c r="L407" s="1" t="s">
        <v>1595</v>
      </c>
      <c r="M407" s="1" t="s">
        <v>22</v>
      </c>
      <c r="N407" s="1" t="s">
        <v>81</v>
      </c>
      <c r="O407" s="1" t="s">
        <v>33</v>
      </c>
      <c r="P407" s="1" t="s">
        <v>24</v>
      </c>
      <c r="Q407" s="1" t="s">
        <v>724</v>
      </c>
      <c r="R407" s="1" t="s">
        <v>1596</v>
      </c>
      <c r="S407" s="75">
        <v>43201</v>
      </c>
      <c r="T407" s="1">
        <v>0</v>
      </c>
      <c r="U407" s="1"/>
      <c r="V407" s="1" t="s">
        <v>27</v>
      </c>
      <c r="W407" s="1" t="s">
        <v>1830</v>
      </c>
      <c r="X407" s="1" t="s">
        <v>1836</v>
      </c>
      <c r="Y407" s="1" t="s">
        <v>1856</v>
      </c>
      <c r="Z407" s="1" t="s">
        <v>1836</v>
      </c>
      <c r="AA407" s="75">
        <v>45839</v>
      </c>
      <c r="AB407" s="75">
        <v>45839</v>
      </c>
      <c r="AC407" s="88">
        <v>800000</v>
      </c>
      <c r="AD407" s="88">
        <v>3000000</v>
      </c>
    </row>
    <row r="408" spans="1:30" ht="17.399999999999999" customHeight="1" x14ac:dyDescent="0.4">
      <c r="A408" s="29">
        <v>405</v>
      </c>
      <c r="B408" s="29" t="str">
        <f t="shared" si="28"/>
        <v>407</v>
      </c>
      <c r="C408" s="29" t="str">
        <f t="shared" si="29"/>
        <v>C</v>
      </c>
      <c r="D408" s="29" t="str">
        <f t="shared" si="30"/>
        <v>B</v>
      </c>
      <c r="E408" s="29" t="str">
        <f t="shared" si="31"/>
        <v>F</v>
      </c>
      <c r="F408" s="1" t="s">
        <v>1597</v>
      </c>
      <c r="G408" s="1" t="s">
        <v>675</v>
      </c>
      <c r="H408" s="1" t="s">
        <v>359</v>
      </c>
      <c r="I408" s="1" t="s">
        <v>19</v>
      </c>
      <c r="J408" s="1" t="s">
        <v>676</v>
      </c>
      <c r="K408" s="1" t="s">
        <v>1598</v>
      </c>
      <c r="L408" s="1" t="s">
        <v>1599</v>
      </c>
      <c r="M408" s="1" t="s">
        <v>22</v>
      </c>
      <c r="N408" s="1" t="s">
        <v>81</v>
      </c>
      <c r="O408" s="1" t="s">
        <v>33</v>
      </c>
      <c r="P408" s="1" t="s">
        <v>24</v>
      </c>
      <c r="Q408" s="1" t="s">
        <v>724</v>
      </c>
      <c r="R408" s="1" t="s">
        <v>1600</v>
      </c>
      <c r="S408" s="75">
        <v>43159</v>
      </c>
      <c r="T408" s="1">
        <v>0</v>
      </c>
      <c r="U408" s="1"/>
      <c r="V408" s="1" t="s">
        <v>27</v>
      </c>
      <c r="W408" s="1" t="s">
        <v>1830</v>
      </c>
      <c r="X408" s="1" t="s">
        <v>1836</v>
      </c>
      <c r="Y408" s="1" t="s">
        <v>1856</v>
      </c>
      <c r="Z408" s="1" t="s">
        <v>1836</v>
      </c>
      <c r="AA408" s="75">
        <v>45839</v>
      </c>
      <c r="AB408" s="75">
        <v>45839</v>
      </c>
      <c r="AC408" s="88">
        <v>800000</v>
      </c>
      <c r="AD408" s="88">
        <v>3000000</v>
      </c>
    </row>
    <row r="409" spans="1:30" ht="17.399999999999999" customHeight="1" x14ac:dyDescent="0.4">
      <c r="A409" s="29">
        <v>406</v>
      </c>
      <c r="B409" s="29" t="str">
        <f t="shared" si="28"/>
        <v>408</v>
      </c>
      <c r="C409" s="29" t="str">
        <f t="shared" si="29"/>
        <v>C</v>
      </c>
      <c r="D409" s="29" t="str">
        <f t="shared" si="30"/>
        <v>B</v>
      </c>
      <c r="E409" s="29" t="str">
        <f t="shared" si="31"/>
        <v>F</v>
      </c>
      <c r="F409" s="1" t="s">
        <v>2015</v>
      </c>
      <c r="G409" s="1" t="s">
        <v>675</v>
      </c>
      <c r="H409" s="1" t="s">
        <v>359</v>
      </c>
      <c r="I409" s="1" t="s">
        <v>19</v>
      </c>
      <c r="J409" s="1" t="s">
        <v>676</v>
      </c>
      <c r="K409" s="1" t="s">
        <v>1601</v>
      </c>
      <c r="L409" s="1" t="s">
        <v>1602</v>
      </c>
      <c r="M409" s="1" t="s">
        <v>22</v>
      </c>
      <c r="N409" s="1" t="s">
        <v>81</v>
      </c>
      <c r="O409" s="1" t="s">
        <v>33</v>
      </c>
      <c r="P409" s="1" t="s">
        <v>24</v>
      </c>
      <c r="Q409" s="1" t="s">
        <v>724</v>
      </c>
      <c r="R409" s="1" t="s">
        <v>1603</v>
      </c>
      <c r="S409" s="75">
        <v>43118</v>
      </c>
      <c r="T409" s="1">
        <v>0</v>
      </c>
      <c r="U409" s="1"/>
      <c r="V409" s="1" t="s">
        <v>27</v>
      </c>
      <c r="W409" s="1" t="s">
        <v>1830</v>
      </c>
      <c r="X409" s="1" t="s">
        <v>1836</v>
      </c>
      <c r="Y409" s="1" t="s">
        <v>1856</v>
      </c>
      <c r="Z409" s="1" t="s">
        <v>1836</v>
      </c>
      <c r="AA409" s="75">
        <v>45839</v>
      </c>
      <c r="AB409" s="75">
        <v>45839</v>
      </c>
      <c r="AC409" s="88">
        <v>800000</v>
      </c>
      <c r="AD409" s="88">
        <v>3000000</v>
      </c>
    </row>
    <row r="410" spans="1:30" ht="17.399999999999999" customHeight="1" x14ac:dyDescent="0.4">
      <c r="A410" s="29">
        <v>407</v>
      </c>
      <c r="B410" s="29" t="str">
        <f t="shared" si="28"/>
        <v>409</v>
      </c>
      <c r="C410" s="29" t="str">
        <f t="shared" si="29"/>
        <v>C</v>
      </c>
      <c r="D410" s="29" t="str">
        <f t="shared" si="30"/>
        <v>B</v>
      </c>
      <c r="E410" s="29" t="str">
        <f t="shared" si="31"/>
        <v>F</v>
      </c>
      <c r="F410" s="1" t="s">
        <v>1604</v>
      </c>
      <c r="G410" s="1" t="s">
        <v>675</v>
      </c>
      <c r="H410" s="1" t="s">
        <v>359</v>
      </c>
      <c r="I410" s="1" t="s">
        <v>19</v>
      </c>
      <c r="J410" s="1" t="s">
        <v>676</v>
      </c>
      <c r="K410" s="1" t="s">
        <v>1605</v>
      </c>
      <c r="L410" s="1" t="s">
        <v>1606</v>
      </c>
      <c r="M410" s="1" t="s">
        <v>22</v>
      </c>
      <c r="N410" s="1" t="s">
        <v>81</v>
      </c>
      <c r="O410" s="1" t="s">
        <v>33</v>
      </c>
      <c r="P410" s="1" t="s">
        <v>24</v>
      </c>
      <c r="Q410" s="1" t="s">
        <v>724</v>
      </c>
      <c r="R410" s="1" t="s">
        <v>1607</v>
      </c>
      <c r="S410" s="75">
        <v>43033</v>
      </c>
      <c r="T410" s="1">
        <v>0</v>
      </c>
      <c r="U410" s="1"/>
      <c r="V410" s="1" t="s">
        <v>27</v>
      </c>
      <c r="W410" s="1" t="s">
        <v>1830</v>
      </c>
      <c r="X410" s="1" t="s">
        <v>1836</v>
      </c>
      <c r="Y410" s="1" t="s">
        <v>1856</v>
      </c>
      <c r="Z410" s="1" t="s">
        <v>1836</v>
      </c>
      <c r="AA410" s="75">
        <v>45839</v>
      </c>
      <c r="AB410" s="75">
        <v>45839</v>
      </c>
      <c r="AC410" s="88">
        <v>800000</v>
      </c>
      <c r="AD410" s="88">
        <v>3000000</v>
      </c>
    </row>
    <row r="411" spans="1:30" ht="17.399999999999999" customHeight="1" x14ac:dyDescent="0.4">
      <c r="A411" s="29">
        <v>408</v>
      </c>
      <c r="B411" s="29" t="str">
        <f t="shared" si="28"/>
        <v>410</v>
      </c>
      <c r="C411" s="29" t="str">
        <f t="shared" si="29"/>
        <v>C</v>
      </c>
      <c r="D411" s="29" t="str">
        <f t="shared" si="30"/>
        <v>B</v>
      </c>
      <c r="E411" s="29" t="str">
        <f t="shared" si="31"/>
        <v>F</v>
      </c>
      <c r="F411" s="1" t="s">
        <v>1608</v>
      </c>
      <c r="G411" s="1" t="s">
        <v>675</v>
      </c>
      <c r="H411" s="1" t="s">
        <v>359</v>
      </c>
      <c r="I411" s="1" t="s">
        <v>19</v>
      </c>
      <c r="J411" s="1" t="s">
        <v>676</v>
      </c>
      <c r="K411" s="1" t="s">
        <v>1609</v>
      </c>
      <c r="L411" s="1" t="s">
        <v>1610</v>
      </c>
      <c r="M411" s="1" t="s">
        <v>22</v>
      </c>
      <c r="N411" s="1" t="s">
        <v>81</v>
      </c>
      <c r="O411" s="1" t="s">
        <v>33</v>
      </c>
      <c r="P411" s="1" t="s">
        <v>24</v>
      </c>
      <c r="Q411" s="1" t="s">
        <v>724</v>
      </c>
      <c r="R411" s="1" t="s">
        <v>1611</v>
      </c>
      <c r="S411" s="75">
        <v>41438</v>
      </c>
      <c r="T411" s="1">
        <v>0</v>
      </c>
      <c r="U411" s="1"/>
      <c r="V411" s="1" t="s">
        <v>27</v>
      </c>
      <c r="W411" s="1" t="s">
        <v>1830</v>
      </c>
      <c r="X411" s="1" t="s">
        <v>1836</v>
      </c>
      <c r="Y411" s="1" t="s">
        <v>1856</v>
      </c>
      <c r="Z411" s="1" t="s">
        <v>1836</v>
      </c>
      <c r="AA411" s="75">
        <v>45839</v>
      </c>
      <c r="AB411" s="75">
        <v>45839</v>
      </c>
      <c r="AC411" s="88">
        <v>800000</v>
      </c>
      <c r="AD411" s="88">
        <v>3000000</v>
      </c>
    </row>
    <row r="412" spans="1:30" ht="17.399999999999999" customHeight="1" x14ac:dyDescent="0.4">
      <c r="A412" s="29">
        <v>409</v>
      </c>
      <c r="B412" s="29" t="str">
        <f t="shared" si="28"/>
        <v>411</v>
      </c>
      <c r="C412" s="29" t="str">
        <f t="shared" si="29"/>
        <v>C</v>
      </c>
      <c r="D412" s="29" t="str">
        <f t="shared" si="30"/>
        <v>B</v>
      </c>
      <c r="E412" s="29" t="str">
        <f t="shared" si="31"/>
        <v>F</v>
      </c>
      <c r="F412" s="1" t="s">
        <v>1612</v>
      </c>
      <c r="G412" s="1" t="s">
        <v>675</v>
      </c>
      <c r="H412" s="1" t="s">
        <v>359</v>
      </c>
      <c r="I412" s="1" t="s">
        <v>19</v>
      </c>
      <c r="J412" s="1" t="s">
        <v>676</v>
      </c>
      <c r="K412" s="1" t="s">
        <v>1613</v>
      </c>
      <c r="L412" s="1" t="s">
        <v>1614</v>
      </c>
      <c r="M412" s="1" t="s">
        <v>22</v>
      </c>
      <c r="N412" s="1" t="s">
        <v>81</v>
      </c>
      <c r="O412" s="1" t="s">
        <v>33</v>
      </c>
      <c r="P412" s="1" t="s">
        <v>24</v>
      </c>
      <c r="Q412" s="1" t="s">
        <v>724</v>
      </c>
      <c r="R412" s="1" t="s">
        <v>1615</v>
      </c>
      <c r="S412" s="75">
        <v>41437</v>
      </c>
      <c r="T412" s="1">
        <v>0</v>
      </c>
      <c r="U412" s="1"/>
      <c r="V412" s="1" t="s">
        <v>27</v>
      </c>
      <c r="W412" s="1" t="s">
        <v>1830</v>
      </c>
      <c r="X412" s="1" t="s">
        <v>1836</v>
      </c>
      <c r="Y412" s="1" t="s">
        <v>1856</v>
      </c>
      <c r="Z412" s="1" t="s">
        <v>1836</v>
      </c>
      <c r="AA412" s="75">
        <v>45839</v>
      </c>
      <c r="AB412" s="75">
        <v>45839</v>
      </c>
      <c r="AC412" s="88">
        <v>800000</v>
      </c>
      <c r="AD412" s="88">
        <v>3000000</v>
      </c>
    </row>
    <row r="413" spans="1:30" ht="17.399999999999999" customHeight="1" x14ac:dyDescent="0.4">
      <c r="A413" s="29">
        <v>410</v>
      </c>
      <c r="B413" s="29" t="str">
        <f t="shared" si="28"/>
        <v>412</v>
      </c>
      <c r="C413" s="29" t="str">
        <f t="shared" si="29"/>
        <v>C</v>
      </c>
      <c r="D413" s="29" t="str">
        <f t="shared" si="30"/>
        <v>B</v>
      </c>
      <c r="E413" s="29" t="str">
        <f t="shared" si="31"/>
        <v>F</v>
      </c>
      <c r="F413" s="1" t="s">
        <v>1616</v>
      </c>
      <c r="G413" s="1" t="s">
        <v>675</v>
      </c>
      <c r="H413" s="1" t="s">
        <v>359</v>
      </c>
      <c r="I413" s="1" t="s">
        <v>19</v>
      </c>
      <c r="J413" s="1" t="s">
        <v>676</v>
      </c>
      <c r="K413" s="1" t="s">
        <v>2005</v>
      </c>
      <c r="L413" s="1" t="s">
        <v>1617</v>
      </c>
      <c r="M413" s="1" t="s">
        <v>22</v>
      </c>
      <c r="N413" s="1" t="s">
        <v>81</v>
      </c>
      <c r="O413" s="1" t="s">
        <v>33</v>
      </c>
      <c r="P413" s="1" t="s">
        <v>24</v>
      </c>
      <c r="Q413" s="1" t="s">
        <v>724</v>
      </c>
      <c r="R413" s="1" t="s">
        <v>1618</v>
      </c>
      <c r="S413" s="75">
        <v>41437</v>
      </c>
      <c r="T413" s="1">
        <v>0</v>
      </c>
      <c r="U413" s="1"/>
      <c r="V413" s="1" t="s">
        <v>36</v>
      </c>
      <c r="W413" s="1"/>
      <c r="X413" s="1"/>
      <c r="Y413" s="1"/>
      <c r="Z413" s="1" t="s">
        <v>1836</v>
      </c>
      <c r="AA413" s="75">
        <v>45839</v>
      </c>
      <c r="AB413" s="75">
        <v>45839</v>
      </c>
      <c r="AC413" s="88">
        <v>800000</v>
      </c>
      <c r="AD413" s="88">
        <v>3000000</v>
      </c>
    </row>
    <row r="414" spans="1:30" ht="17.399999999999999" customHeight="1" x14ac:dyDescent="0.4">
      <c r="A414" s="29">
        <v>411</v>
      </c>
      <c r="B414" s="29" t="str">
        <f t="shared" si="28"/>
        <v>413</v>
      </c>
      <c r="C414" s="29" t="str">
        <f t="shared" si="29"/>
        <v>C</v>
      </c>
      <c r="D414" s="29" t="str">
        <f t="shared" si="30"/>
        <v>B</v>
      </c>
      <c r="E414" s="29" t="str">
        <f t="shared" si="31"/>
        <v>F</v>
      </c>
      <c r="F414" s="1" t="s">
        <v>1619</v>
      </c>
      <c r="G414" s="1" t="s">
        <v>675</v>
      </c>
      <c r="H414" s="1" t="s">
        <v>359</v>
      </c>
      <c r="I414" s="1" t="s">
        <v>19</v>
      </c>
      <c r="J414" s="1" t="s">
        <v>676</v>
      </c>
      <c r="K414" s="1" t="s">
        <v>1620</v>
      </c>
      <c r="L414" s="1" t="s">
        <v>1621</v>
      </c>
      <c r="M414" s="1" t="s">
        <v>22</v>
      </c>
      <c r="N414" s="1" t="s">
        <v>81</v>
      </c>
      <c r="O414" s="1" t="s">
        <v>33</v>
      </c>
      <c r="P414" s="1" t="s">
        <v>24</v>
      </c>
      <c r="Q414" s="1" t="s">
        <v>724</v>
      </c>
      <c r="R414" s="1" t="s">
        <v>1622</v>
      </c>
      <c r="S414" s="75">
        <v>41436</v>
      </c>
      <c r="T414" s="1">
        <v>0</v>
      </c>
      <c r="U414" s="1"/>
      <c r="V414" s="1" t="s">
        <v>27</v>
      </c>
      <c r="W414" s="1" t="s">
        <v>1830</v>
      </c>
      <c r="X414" s="1" t="s">
        <v>1836</v>
      </c>
      <c r="Y414" s="1" t="s">
        <v>1856</v>
      </c>
      <c r="Z414" s="1" t="s">
        <v>1836</v>
      </c>
      <c r="AA414" s="75">
        <v>45839</v>
      </c>
      <c r="AB414" s="75">
        <v>45839</v>
      </c>
      <c r="AC414" s="88">
        <v>800000</v>
      </c>
      <c r="AD414" s="88">
        <v>3000000</v>
      </c>
    </row>
    <row r="415" spans="1:30" ht="17.399999999999999" customHeight="1" x14ac:dyDescent="0.4">
      <c r="A415" s="29">
        <v>412</v>
      </c>
      <c r="B415" s="29" t="str">
        <f t="shared" si="28"/>
        <v>414</v>
      </c>
      <c r="C415" s="29" t="str">
        <f t="shared" si="29"/>
        <v>C</v>
      </c>
      <c r="D415" s="29" t="str">
        <f t="shared" si="30"/>
        <v>B</v>
      </c>
      <c r="E415" s="29" t="str">
        <f t="shared" si="31"/>
        <v>F</v>
      </c>
      <c r="F415" s="1" t="s">
        <v>1623</v>
      </c>
      <c r="G415" s="1" t="s">
        <v>675</v>
      </c>
      <c r="H415" s="1" t="s">
        <v>359</v>
      </c>
      <c r="I415" s="1" t="s">
        <v>19</v>
      </c>
      <c r="J415" s="1" t="s">
        <v>676</v>
      </c>
      <c r="K415" s="1" t="s">
        <v>1551</v>
      </c>
      <c r="L415" s="1" t="s">
        <v>1624</v>
      </c>
      <c r="M415" s="1" t="s">
        <v>22</v>
      </c>
      <c r="N415" s="1" t="s">
        <v>81</v>
      </c>
      <c r="O415" s="1" t="s">
        <v>33</v>
      </c>
      <c r="P415" s="1" t="s">
        <v>24</v>
      </c>
      <c r="Q415" s="1" t="s">
        <v>724</v>
      </c>
      <c r="R415" s="1" t="s">
        <v>1625</v>
      </c>
      <c r="S415" s="75">
        <v>41436</v>
      </c>
      <c r="T415" s="1">
        <v>0</v>
      </c>
      <c r="U415" s="1"/>
      <c r="V415" s="1" t="s">
        <v>27</v>
      </c>
      <c r="W415" s="1" t="s">
        <v>1830</v>
      </c>
      <c r="X415" s="1" t="s">
        <v>1836</v>
      </c>
      <c r="Y415" s="1" t="s">
        <v>1856</v>
      </c>
      <c r="Z415" s="1" t="s">
        <v>1836</v>
      </c>
      <c r="AA415" s="75">
        <v>45839</v>
      </c>
      <c r="AB415" s="75">
        <v>45839</v>
      </c>
      <c r="AC415" s="88">
        <v>800000</v>
      </c>
      <c r="AD415" s="88">
        <v>3000000</v>
      </c>
    </row>
    <row r="416" spans="1:30" ht="17.399999999999999" customHeight="1" x14ac:dyDescent="0.4">
      <c r="A416" s="29">
        <v>413</v>
      </c>
      <c r="B416" s="29" t="str">
        <f t="shared" si="28"/>
        <v>415</v>
      </c>
      <c r="C416" s="29" t="str">
        <f t="shared" si="29"/>
        <v>C</v>
      </c>
      <c r="D416" s="29" t="str">
        <f t="shared" si="30"/>
        <v>B</v>
      </c>
      <c r="E416" s="29" t="str">
        <f t="shared" si="31"/>
        <v>F</v>
      </c>
      <c r="F416" s="1" t="s">
        <v>1626</v>
      </c>
      <c r="G416" s="1" t="s">
        <v>675</v>
      </c>
      <c r="H416" s="1" t="s">
        <v>359</v>
      </c>
      <c r="I416" s="1" t="s">
        <v>19</v>
      </c>
      <c r="J416" s="1" t="s">
        <v>676</v>
      </c>
      <c r="K416" s="1" t="s">
        <v>1627</v>
      </c>
      <c r="L416" s="1" t="s">
        <v>1628</v>
      </c>
      <c r="M416" s="1" t="s">
        <v>22</v>
      </c>
      <c r="N416" s="1" t="s">
        <v>81</v>
      </c>
      <c r="O416" s="1" t="s">
        <v>33</v>
      </c>
      <c r="P416" s="1" t="s">
        <v>24</v>
      </c>
      <c r="Q416" s="1" t="s">
        <v>724</v>
      </c>
      <c r="R416" s="1" t="s">
        <v>1629</v>
      </c>
      <c r="S416" s="75">
        <v>41358</v>
      </c>
      <c r="T416" s="1">
        <v>0</v>
      </c>
      <c r="U416" s="1"/>
      <c r="V416" s="1" t="s">
        <v>27</v>
      </c>
      <c r="W416" s="1" t="s">
        <v>1830</v>
      </c>
      <c r="X416" s="1" t="s">
        <v>1836</v>
      </c>
      <c r="Y416" s="1" t="s">
        <v>1856</v>
      </c>
      <c r="Z416" s="1" t="s">
        <v>1836</v>
      </c>
      <c r="AA416" s="75">
        <v>45839</v>
      </c>
      <c r="AB416" s="75">
        <v>45839</v>
      </c>
      <c r="AC416" s="88">
        <v>800000</v>
      </c>
      <c r="AD416" s="88">
        <v>3000000</v>
      </c>
    </row>
    <row r="417" spans="1:30" ht="17.399999999999999" customHeight="1" x14ac:dyDescent="0.4">
      <c r="A417" s="29">
        <v>414</v>
      </c>
      <c r="B417" s="29" t="str">
        <f t="shared" si="28"/>
        <v>416</v>
      </c>
      <c r="C417" s="29" t="str">
        <f t="shared" si="29"/>
        <v>C</v>
      </c>
      <c r="D417" s="29" t="str">
        <f t="shared" si="30"/>
        <v>B</v>
      </c>
      <c r="E417" s="29" t="str">
        <f t="shared" si="31"/>
        <v>T</v>
      </c>
      <c r="F417" s="1" t="s">
        <v>1817</v>
      </c>
      <c r="G417" s="1" t="s">
        <v>675</v>
      </c>
      <c r="H417" s="1" t="s">
        <v>359</v>
      </c>
      <c r="I417" s="1" t="s">
        <v>19</v>
      </c>
      <c r="J417" s="1" t="s">
        <v>676</v>
      </c>
      <c r="K417" s="1" t="s">
        <v>736</v>
      </c>
      <c r="L417" s="1" t="s">
        <v>1788</v>
      </c>
      <c r="M417" s="1" t="s">
        <v>22</v>
      </c>
      <c r="N417" s="1" t="s">
        <v>1876</v>
      </c>
      <c r="O417" s="1" t="s">
        <v>282</v>
      </c>
      <c r="P417" s="1" t="s">
        <v>24</v>
      </c>
      <c r="Q417" s="1" t="s">
        <v>1630</v>
      </c>
      <c r="R417" s="1" t="s">
        <v>1631</v>
      </c>
      <c r="S417" s="75">
        <v>40891</v>
      </c>
      <c r="T417" s="1">
        <v>0</v>
      </c>
      <c r="U417" s="1"/>
      <c r="V417" s="1" t="s">
        <v>36</v>
      </c>
      <c r="W417" s="1"/>
      <c r="X417" s="1"/>
      <c r="Y417" s="1"/>
      <c r="Z417" s="1" t="s">
        <v>1836</v>
      </c>
      <c r="AA417" s="75">
        <v>45839</v>
      </c>
      <c r="AB417" s="75">
        <v>45931</v>
      </c>
      <c r="AC417" s="88">
        <v>580000</v>
      </c>
      <c r="AD417" s="88">
        <v>1000000</v>
      </c>
    </row>
    <row r="418" spans="1:30" ht="17.399999999999999" customHeight="1" x14ac:dyDescent="0.4">
      <c r="A418" s="29">
        <v>415</v>
      </c>
      <c r="B418" s="29" t="str">
        <f t="shared" si="28"/>
        <v>417</v>
      </c>
      <c r="C418" s="29" t="str">
        <f t="shared" si="29"/>
        <v>C</v>
      </c>
      <c r="D418" s="29" t="str">
        <f t="shared" si="30"/>
        <v>B</v>
      </c>
      <c r="E418" s="29" t="str">
        <f t="shared" si="31"/>
        <v>T</v>
      </c>
      <c r="F418" s="1" t="s">
        <v>1818</v>
      </c>
      <c r="G418" s="1" t="s">
        <v>675</v>
      </c>
      <c r="H418" s="1" t="s">
        <v>359</v>
      </c>
      <c r="I418" s="1" t="s">
        <v>19</v>
      </c>
      <c r="J418" s="1" t="s">
        <v>676</v>
      </c>
      <c r="K418" s="1" t="s">
        <v>1632</v>
      </c>
      <c r="L418" s="1" t="s">
        <v>1633</v>
      </c>
      <c r="M418" s="1" t="s">
        <v>22</v>
      </c>
      <c r="N418" s="1" t="s">
        <v>1876</v>
      </c>
      <c r="O418" s="1" t="s">
        <v>282</v>
      </c>
      <c r="P418" s="1" t="s">
        <v>24</v>
      </c>
      <c r="Q418" s="1" t="s">
        <v>1630</v>
      </c>
      <c r="R418" s="1" t="s">
        <v>1634</v>
      </c>
      <c r="S418" s="75">
        <v>40914</v>
      </c>
      <c r="T418" s="1">
        <v>0</v>
      </c>
      <c r="U418" s="1"/>
      <c r="V418" s="1" t="s">
        <v>36</v>
      </c>
      <c r="W418" s="1"/>
      <c r="X418" s="1"/>
      <c r="Y418" s="1"/>
      <c r="Z418" s="1" t="s">
        <v>1836</v>
      </c>
      <c r="AA418" s="75">
        <v>45839</v>
      </c>
      <c r="AB418" s="75">
        <v>45839</v>
      </c>
      <c r="AC418" s="88">
        <v>580000</v>
      </c>
      <c r="AD418" s="88">
        <v>1000000</v>
      </c>
    </row>
    <row r="419" spans="1:30" ht="17.399999999999999" customHeight="1" x14ac:dyDescent="0.4">
      <c r="A419" s="29">
        <v>416</v>
      </c>
      <c r="B419" s="29" t="str">
        <f t="shared" si="28"/>
        <v>418</v>
      </c>
      <c r="C419" s="29" t="str">
        <f t="shared" si="29"/>
        <v>C</v>
      </c>
      <c r="D419" s="29" t="str">
        <f t="shared" si="30"/>
        <v>B</v>
      </c>
      <c r="E419" s="29" t="str">
        <f t="shared" si="31"/>
        <v>T</v>
      </c>
      <c r="F419" s="1" t="s">
        <v>1966</v>
      </c>
      <c r="G419" s="1" t="s">
        <v>1836</v>
      </c>
      <c r="H419" s="1" t="s">
        <v>1693</v>
      </c>
      <c r="I419" s="1" t="s">
        <v>736</v>
      </c>
      <c r="J419" s="1" t="s">
        <v>31</v>
      </c>
      <c r="K419" s="1" t="s">
        <v>675</v>
      </c>
      <c r="L419" s="1" t="s">
        <v>1717</v>
      </c>
      <c r="M419" s="1" t="s">
        <v>22</v>
      </c>
      <c r="N419" s="1" t="s">
        <v>1876</v>
      </c>
      <c r="O419" s="1" t="s">
        <v>282</v>
      </c>
      <c r="P419" s="1" t="s">
        <v>24</v>
      </c>
      <c r="Q419" s="1" t="s">
        <v>1630</v>
      </c>
      <c r="R419" s="1" t="s">
        <v>1635</v>
      </c>
      <c r="S419" s="75">
        <v>40948</v>
      </c>
      <c r="T419" s="1">
        <v>0</v>
      </c>
      <c r="U419" s="1"/>
      <c r="V419" s="1" t="s">
        <v>36</v>
      </c>
      <c r="W419" s="1"/>
      <c r="X419" s="1"/>
      <c r="Y419" s="1"/>
      <c r="Z419" s="1" t="s">
        <v>1836</v>
      </c>
      <c r="AA419" s="75">
        <v>45839</v>
      </c>
      <c r="AB419" s="75">
        <v>45839</v>
      </c>
      <c r="AC419" s="88">
        <v>0</v>
      </c>
      <c r="AD419" s="88">
        <v>1000000</v>
      </c>
    </row>
    <row r="420" spans="1:30" ht="17.399999999999999" customHeight="1" x14ac:dyDescent="0.4">
      <c r="A420" s="29">
        <v>417</v>
      </c>
      <c r="B420" s="29" t="str">
        <f t="shared" si="28"/>
        <v>419</v>
      </c>
      <c r="C420" s="29" t="str">
        <f t="shared" si="29"/>
        <v>C</v>
      </c>
      <c r="D420" s="29" t="str">
        <f t="shared" si="30"/>
        <v>B</v>
      </c>
      <c r="E420" s="29" t="str">
        <f t="shared" si="31"/>
        <v>T</v>
      </c>
      <c r="F420" s="1" t="s">
        <v>1819</v>
      </c>
      <c r="G420" s="1" t="s">
        <v>675</v>
      </c>
      <c r="H420" s="1" t="s">
        <v>359</v>
      </c>
      <c r="I420" s="1" t="s">
        <v>19</v>
      </c>
      <c r="J420" s="1" t="s">
        <v>676</v>
      </c>
      <c r="K420" s="1" t="s">
        <v>1636</v>
      </c>
      <c r="L420" s="1" t="s">
        <v>1637</v>
      </c>
      <c r="M420" s="1" t="s">
        <v>22</v>
      </c>
      <c r="N420" s="1" t="s">
        <v>1876</v>
      </c>
      <c r="O420" s="1" t="s">
        <v>282</v>
      </c>
      <c r="P420" s="1" t="s">
        <v>24</v>
      </c>
      <c r="Q420" s="1" t="s">
        <v>1630</v>
      </c>
      <c r="R420" s="1" t="s">
        <v>1638</v>
      </c>
      <c r="S420" s="75">
        <v>40948</v>
      </c>
      <c r="T420" s="1">
        <v>0</v>
      </c>
      <c r="U420" s="1"/>
      <c r="V420" s="1" t="s">
        <v>36</v>
      </c>
      <c r="W420" s="1"/>
      <c r="X420" s="1"/>
      <c r="Y420" s="1"/>
      <c r="Z420" s="1" t="s">
        <v>1836</v>
      </c>
      <c r="AA420" s="75">
        <v>45839</v>
      </c>
      <c r="AB420" s="75">
        <v>45839</v>
      </c>
      <c r="AC420" s="88">
        <v>580000</v>
      </c>
      <c r="AD420" s="88">
        <v>1000000</v>
      </c>
    </row>
    <row r="421" spans="1:30" ht="17.399999999999999" customHeight="1" x14ac:dyDescent="0.4">
      <c r="A421" s="29">
        <v>418</v>
      </c>
      <c r="B421" s="29" t="str">
        <f t="shared" si="28"/>
        <v>420</v>
      </c>
      <c r="C421" s="29" t="str">
        <f t="shared" si="29"/>
        <v>C</v>
      </c>
      <c r="D421" s="29" t="str">
        <f t="shared" si="30"/>
        <v>B</v>
      </c>
      <c r="E421" s="29" t="str">
        <f t="shared" si="31"/>
        <v>T</v>
      </c>
      <c r="F421" s="1" t="s">
        <v>1967</v>
      </c>
      <c r="G421" s="1" t="s">
        <v>675</v>
      </c>
      <c r="H421" s="1" t="s">
        <v>359</v>
      </c>
      <c r="I421" s="1" t="s">
        <v>19</v>
      </c>
      <c r="J421" s="1" t="s">
        <v>676</v>
      </c>
      <c r="K421" s="1" t="s">
        <v>2006</v>
      </c>
      <c r="L421" s="1" t="s">
        <v>1639</v>
      </c>
      <c r="M421" s="1" t="s">
        <v>22</v>
      </c>
      <c r="N421" s="1" t="s">
        <v>1876</v>
      </c>
      <c r="O421" s="1" t="s">
        <v>282</v>
      </c>
      <c r="P421" s="1" t="s">
        <v>24</v>
      </c>
      <c r="Q421" s="1" t="s">
        <v>1630</v>
      </c>
      <c r="R421" s="1" t="s">
        <v>1640</v>
      </c>
      <c r="S421" s="75">
        <v>40997</v>
      </c>
      <c r="T421" s="1">
        <v>0</v>
      </c>
      <c r="U421" s="1"/>
      <c r="V421" s="1" t="s">
        <v>36</v>
      </c>
      <c r="W421" s="1"/>
      <c r="X421" s="1"/>
      <c r="Y421" s="1"/>
      <c r="Z421" s="1" t="s">
        <v>1836</v>
      </c>
      <c r="AA421" s="75">
        <v>45839</v>
      </c>
      <c r="AB421" s="75">
        <v>45839</v>
      </c>
      <c r="AC421" s="88">
        <v>580000</v>
      </c>
      <c r="AD421" s="88">
        <v>1000000</v>
      </c>
    </row>
    <row r="422" spans="1:30" ht="17.399999999999999" customHeight="1" x14ac:dyDescent="0.4">
      <c r="A422" s="29">
        <v>419</v>
      </c>
      <c r="B422" s="29" t="str">
        <f t="shared" si="28"/>
        <v>421</v>
      </c>
      <c r="C422" s="29" t="str">
        <f t="shared" si="29"/>
        <v>C</v>
      </c>
      <c r="D422" s="29" t="str">
        <f t="shared" si="30"/>
        <v>B</v>
      </c>
      <c r="E422" s="29" t="str">
        <f t="shared" si="31"/>
        <v>T</v>
      </c>
      <c r="F422" s="1" t="s">
        <v>1968</v>
      </c>
      <c r="G422" s="1" t="s">
        <v>1836</v>
      </c>
      <c r="H422" s="1" t="s">
        <v>1693</v>
      </c>
      <c r="I422" s="1" t="s">
        <v>736</v>
      </c>
      <c r="J422" s="1" t="s">
        <v>31</v>
      </c>
      <c r="K422" s="1" t="s">
        <v>675</v>
      </c>
      <c r="L422" s="1" t="s">
        <v>1718</v>
      </c>
      <c r="M422" s="1" t="s">
        <v>22</v>
      </c>
      <c r="N422" s="1" t="s">
        <v>1876</v>
      </c>
      <c r="O422" s="1" t="s">
        <v>282</v>
      </c>
      <c r="P422" s="1" t="s">
        <v>24</v>
      </c>
      <c r="Q422" s="1" t="s">
        <v>1630</v>
      </c>
      <c r="R422" s="1" t="s">
        <v>1641</v>
      </c>
      <c r="S422" s="75">
        <v>40997</v>
      </c>
      <c r="T422" s="1">
        <v>0</v>
      </c>
      <c r="U422" s="1"/>
      <c r="V422" s="1" t="s">
        <v>36</v>
      </c>
      <c r="W422" s="1"/>
      <c r="X422" s="1"/>
      <c r="Y422" s="1"/>
      <c r="Z422" s="1" t="s">
        <v>1836</v>
      </c>
      <c r="AA422" s="75">
        <v>45839</v>
      </c>
      <c r="AB422" s="75">
        <v>45839</v>
      </c>
      <c r="AC422" s="88">
        <v>0</v>
      </c>
      <c r="AD422" s="88">
        <v>1000000</v>
      </c>
    </row>
    <row r="423" spans="1:30" ht="17.399999999999999" customHeight="1" x14ac:dyDescent="0.4">
      <c r="A423" s="29">
        <v>420</v>
      </c>
      <c r="B423" s="29" t="str">
        <f t="shared" si="28"/>
        <v>422</v>
      </c>
      <c r="C423" s="29" t="str">
        <f t="shared" si="29"/>
        <v>C</v>
      </c>
      <c r="D423" s="29" t="str">
        <f t="shared" si="30"/>
        <v>B</v>
      </c>
      <c r="E423" s="29" t="str">
        <f t="shared" si="31"/>
        <v>T</v>
      </c>
      <c r="F423" s="1" t="s">
        <v>1820</v>
      </c>
      <c r="G423" s="1" t="s">
        <v>675</v>
      </c>
      <c r="H423" s="1" t="s">
        <v>359</v>
      </c>
      <c r="I423" s="1" t="s">
        <v>19</v>
      </c>
      <c r="J423" s="1" t="s">
        <v>676</v>
      </c>
      <c r="K423" s="1" t="s">
        <v>1642</v>
      </c>
      <c r="L423" s="1" t="s">
        <v>1643</v>
      </c>
      <c r="M423" s="1" t="s">
        <v>22</v>
      </c>
      <c r="N423" s="1" t="s">
        <v>1876</v>
      </c>
      <c r="O423" s="1" t="s">
        <v>282</v>
      </c>
      <c r="P423" s="1" t="s">
        <v>24</v>
      </c>
      <c r="Q423" s="1" t="s">
        <v>1630</v>
      </c>
      <c r="R423" s="1" t="s">
        <v>1644</v>
      </c>
      <c r="S423" s="75">
        <v>40997</v>
      </c>
      <c r="T423" s="1">
        <v>0</v>
      </c>
      <c r="U423" s="1"/>
      <c r="V423" s="1" t="s">
        <v>36</v>
      </c>
      <c r="W423" s="1"/>
      <c r="X423" s="1"/>
      <c r="Y423" s="1"/>
      <c r="Z423" s="1" t="s">
        <v>1836</v>
      </c>
      <c r="AA423" s="75">
        <v>45839</v>
      </c>
      <c r="AB423" s="75">
        <v>45839</v>
      </c>
      <c r="AC423" s="88">
        <v>580000</v>
      </c>
      <c r="AD423" s="88">
        <v>1000000</v>
      </c>
    </row>
    <row r="424" spans="1:30" ht="17.399999999999999" customHeight="1" x14ac:dyDescent="0.4">
      <c r="A424" s="29">
        <v>421</v>
      </c>
      <c r="B424" s="29" t="str">
        <f t="shared" si="28"/>
        <v>423</v>
      </c>
      <c r="C424" s="29" t="str">
        <f t="shared" si="29"/>
        <v>C</v>
      </c>
      <c r="D424" s="29" t="str">
        <f t="shared" si="30"/>
        <v>B</v>
      </c>
      <c r="E424" s="29" t="str">
        <f t="shared" si="31"/>
        <v>T</v>
      </c>
      <c r="F424" s="1" t="s">
        <v>1821</v>
      </c>
      <c r="G424" s="1" t="s">
        <v>675</v>
      </c>
      <c r="H424" s="1" t="s">
        <v>359</v>
      </c>
      <c r="I424" s="1" t="s">
        <v>19</v>
      </c>
      <c r="J424" s="1" t="s">
        <v>676</v>
      </c>
      <c r="K424" s="1" t="s">
        <v>1645</v>
      </c>
      <c r="L424" s="1" t="s">
        <v>1646</v>
      </c>
      <c r="M424" s="1" t="s">
        <v>22</v>
      </c>
      <c r="N424" s="1" t="s">
        <v>1876</v>
      </c>
      <c r="O424" s="1" t="s">
        <v>282</v>
      </c>
      <c r="P424" s="1" t="s">
        <v>24</v>
      </c>
      <c r="Q424" s="1" t="s">
        <v>1630</v>
      </c>
      <c r="R424" s="1" t="s">
        <v>1647</v>
      </c>
      <c r="S424" s="75">
        <v>41029</v>
      </c>
      <c r="T424" s="1">
        <v>0</v>
      </c>
      <c r="U424" s="1"/>
      <c r="V424" s="1" t="s">
        <v>36</v>
      </c>
      <c r="W424" s="1"/>
      <c r="X424" s="1"/>
      <c r="Y424" s="1"/>
      <c r="Z424" s="1" t="s">
        <v>1836</v>
      </c>
      <c r="AA424" s="75">
        <v>45839</v>
      </c>
      <c r="AB424" s="75">
        <v>45839</v>
      </c>
      <c r="AC424" s="88">
        <v>580000</v>
      </c>
      <c r="AD424" s="88">
        <v>1000000</v>
      </c>
    </row>
    <row r="425" spans="1:30" ht="17.399999999999999" customHeight="1" x14ac:dyDescent="0.4">
      <c r="A425" s="29">
        <v>422</v>
      </c>
      <c r="B425" s="29" t="str">
        <f t="shared" si="28"/>
        <v>424</v>
      </c>
      <c r="C425" s="29" t="str">
        <f t="shared" si="29"/>
        <v>C</v>
      </c>
      <c r="D425" s="29" t="str">
        <f t="shared" si="30"/>
        <v>B</v>
      </c>
      <c r="E425" s="29" t="str">
        <f t="shared" si="31"/>
        <v>T</v>
      </c>
      <c r="F425" s="1" t="s">
        <v>1822</v>
      </c>
      <c r="G425" s="1" t="s">
        <v>675</v>
      </c>
      <c r="H425" s="1" t="s">
        <v>359</v>
      </c>
      <c r="I425" s="1" t="s">
        <v>19</v>
      </c>
      <c r="J425" s="1" t="s">
        <v>676</v>
      </c>
      <c r="K425" s="1" t="s">
        <v>1648</v>
      </c>
      <c r="L425" s="1" t="s">
        <v>1649</v>
      </c>
      <c r="M425" s="1" t="s">
        <v>22</v>
      </c>
      <c r="N425" s="1" t="s">
        <v>1876</v>
      </c>
      <c r="O425" s="1" t="s">
        <v>1380</v>
      </c>
      <c r="P425" s="1" t="s">
        <v>24</v>
      </c>
      <c r="Q425" s="1" t="s">
        <v>1650</v>
      </c>
      <c r="R425" s="1" t="s">
        <v>1651</v>
      </c>
      <c r="S425" s="75">
        <v>43344</v>
      </c>
      <c r="T425" s="1">
        <v>0</v>
      </c>
      <c r="U425" s="1"/>
      <c r="V425" s="1" t="s">
        <v>36</v>
      </c>
      <c r="W425" s="1"/>
      <c r="X425" s="1"/>
      <c r="Y425" s="1"/>
      <c r="Z425" s="1" t="s">
        <v>1836</v>
      </c>
      <c r="AA425" s="75">
        <v>45839</v>
      </c>
      <c r="AB425" s="75">
        <v>45839</v>
      </c>
      <c r="AC425" s="88">
        <v>750000</v>
      </c>
      <c r="AD425" s="88">
        <v>3000000</v>
      </c>
    </row>
    <row r="426" spans="1:30" ht="17.399999999999999" customHeight="1" x14ac:dyDescent="0.4">
      <c r="A426" s="29">
        <v>423</v>
      </c>
      <c r="B426" s="29" t="str">
        <f t="shared" si="28"/>
        <v>425</v>
      </c>
      <c r="C426" s="29" t="str">
        <f t="shared" si="29"/>
        <v>E</v>
      </c>
      <c r="D426" s="29" t="str">
        <f t="shared" si="30"/>
        <v>B</v>
      </c>
      <c r="E426" s="29" t="str">
        <f t="shared" si="31"/>
        <v>F</v>
      </c>
      <c r="F426" s="1" t="s">
        <v>1652</v>
      </c>
      <c r="G426" s="1" t="s">
        <v>675</v>
      </c>
      <c r="H426" s="1" t="s">
        <v>359</v>
      </c>
      <c r="I426" s="1" t="s">
        <v>19</v>
      </c>
      <c r="J426" s="1" t="s">
        <v>676</v>
      </c>
      <c r="K426" s="1" t="s">
        <v>1653</v>
      </c>
      <c r="L426" s="1" t="s">
        <v>1654</v>
      </c>
      <c r="M426" s="1" t="s">
        <v>22</v>
      </c>
      <c r="N426" s="1" t="s">
        <v>81</v>
      </c>
      <c r="O426" s="1" t="s">
        <v>33</v>
      </c>
      <c r="P426" s="1" t="s">
        <v>1655</v>
      </c>
      <c r="Q426" s="1" t="s">
        <v>1656</v>
      </c>
      <c r="R426" s="1" t="s">
        <v>1657</v>
      </c>
      <c r="S426" s="75">
        <v>41068</v>
      </c>
      <c r="T426" s="1">
        <v>0</v>
      </c>
      <c r="U426" s="1"/>
      <c r="V426" s="1" t="s">
        <v>27</v>
      </c>
      <c r="W426" s="1" t="s">
        <v>1830</v>
      </c>
      <c r="X426" s="1" t="s">
        <v>1836</v>
      </c>
      <c r="Y426" s="1" t="s">
        <v>1856</v>
      </c>
      <c r="Z426" s="1" t="s">
        <v>1836</v>
      </c>
      <c r="AA426" s="75">
        <v>45839</v>
      </c>
      <c r="AB426" s="75">
        <v>45839</v>
      </c>
      <c r="AC426" s="88">
        <v>850000</v>
      </c>
      <c r="AD426" s="88">
        <v>5000000</v>
      </c>
    </row>
    <row r="427" spans="1:30" ht="17.399999999999999" customHeight="1" x14ac:dyDescent="0.4">
      <c r="A427" s="29">
        <v>424</v>
      </c>
      <c r="B427" s="29" t="str">
        <f t="shared" si="28"/>
        <v>426</v>
      </c>
      <c r="C427" s="29" t="str">
        <f t="shared" si="29"/>
        <v>C</v>
      </c>
      <c r="D427" s="29" t="str">
        <f t="shared" si="30"/>
        <v>B</v>
      </c>
      <c r="E427" s="29" t="str">
        <f t="shared" si="31"/>
        <v>F</v>
      </c>
      <c r="F427" s="1" t="s">
        <v>1658</v>
      </c>
      <c r="G427" s="1" t="s">
        <v>675</v>
      </c>
      <c r="H427" s="1" t="s">
        <v>359</v>
      </c>
      <c r="I427" s="1" t="s">
        <v>19</v>
      </c>
      <c r="J427" s="1" t="s">
        <v>676</v>
      </c>
      <c r="K427" s="1" t="s">
        <v>1659</v>
      </c>
      <c r="L427" s="1" t="s">
        <v>1660</v>
      </c>
      <c r="M427" s="1" t="s">
        <v>22</v>
      </c>
      <c r="N427" s="1" t="s">
        <v>118</v>
      </c>
      <c r="O427" s="1" t="s">
        <v>33</v>
      </c>
      <c r="P427" s="1" t="s">
        <v>24</v>
      </c>
      <c r="Q427" s="1" t="s">
        <v>34</v>
      </c>
      <c r="R427" s="1" t="s">
        <v>1701</v>
      </c>
      <c r="S427" s="75">
        <v>44965</v>
      </c>
      <c r="T427" s="1">
        <v>0</v>
      </c>
      <c r="U427" s="1"/>
      <c r="V427" s="1" t="s">
        <v>27</v>
      </c>
      <c r="W427" s="1" t="s">
        <v>1830</v>
      </c>
      <c r="X427" s="1" t="s">
        <v>1836</v>
      </c>
      <c r="Y427" s="1" t="s">
        <v>1856</v>
      </c>
      <c r="Z427" s="1" t="s">
        <v>1836</v>
      </c>
      <c r="AA427" s="75">
        <v>45839</v>
      </c>
      <c r="AB427" s="75">
        <v>45839</v>
      </c>
      <c r="AC427" s="88">
        <v>800000</v>
      </c>
      <c r="AD427" s="88">
        <v>21172000</v>
      </c>
    </row>
    <row r="428" spans="1:30" ht="17.399999999999999" customHeight="1" x14ac:dyDescent="0.4">
      <c r="A428" s="29">
        <v>425</v>
      </c>
      <c r="B428" s="29" t="str">
        <f t="shared" si="28"/>
        <v>427</v>
      </c>
      <c r="C428" s="29" t="str">
        <f t="shared" si="29"/>
        <v>C</v>
      </c>
      <c r="D428" s="29" t="str">
        <f t="shared" si="30"/>
        <v>O</v>
      </c>
      <c r="E428" s="29" t="str">
        <f t="shared" si="31"/>
        <v>F</v>
      </c>
      <c r="F428" s="1" t="s">
        <v>1661</v>
      </c>
      <c r="G428" s="1" t="s">
        <v>675</v>
      </c>
      <c r="H428" s="1" t="s">
        <v>359</v>
      </c>
      <c r="I428" s="1" t="s">
        <v>19</v>
      </c>
      <c r="J428" s="1" t="s">
        <v>676</v>
      </c>
      <c r="K428" s="1" t="s">
        <v>1662</v>
      </c>
      <c r="L428" s="1" t="s">
        <v>1663</v>
      </c>
      <c r="M428" s="1" t="s">
        <v>22</v>
      </c>
      <c r="N428" s="1" t="s">
        <v>118</v>
      </c>
      <c r="O428" s="1" t="s">
        <v>339</v>
      </c>
      <c r="P428" s="1" t="s">
        <v>24</v>
      </c>
      <c r="Q428" s="1" t="s">
        <v>1664</v>
      </c>
      <c r="R428" s="1" t="s">
        <v>1665</v>
      </c>
      <c r="S428" s="75">
        <v>39689</v>
      </c>
      <c r="T428" s="1">
        <v>0</v>
      </c>
      <c r="U428" s="1" t="s">
        <v>1666</v>
      </c>
      <c r="V428" s="1" t="s">
        <v>27</v>
      </c>
      <c r="W428" s="1" t="s">
        <v>1830</v>
      </c>
      <c r="X428" s="1" t="s">
        <v>1836</v>
      </c>
      <c r="Y428" s="1" t="s">
        <v>1856</v>
      </c>
      <c r="Z428" s="1" t="s">
        <v>1836</v>
      </c>
      <c r="AA428" s="75">
        <v>45839</v>
      </c>
      <c r="AB428" s="75">
        <v>45839</v>
      </c>
      <c r="AC428" s="88">
        <v>1000000</v>
      </c>
      <c r="AD428" s="88">
        <v>5000000</v>
      </c>
    </row>
    <row r="429" spans="1:30" ht="17.399999999999999" customHeight="1" x14ac:dyDescent="0.4">
      <c r="A429" s="29">
        <v>426</v>
      </c>
      <c r="B429" s="29" t="str">
        <f t="shared" si="28"/>
        <v>428</v>
      </c>
      <c r="C429" s="29" t="str">
        <f t="shared" si="29"/>
        <v>H</v>
      </c>
      <c r="D429" s="29" t="str">
        <f t="shared" si="30"/>
        <v>O</v>
      </c>
      <c r="E429" s="29" t="str">
        <f t="shared" si="31"/>
        <v>F</v>
      </c>
      <c r="F429" s="1" t="s">
        <v>1667</v>
      </c>
      <c r="G429" s="1" t="s">
        <v>675</v>
      </c>
      <c r="H429" s="1" t="s">
        <v>359</v>
      </c>
      <c r="I429" s="1" t="s">
        <v>19</v>
      </c>
      <c r="J429" s="1" t="s">
        <v>676</v>
      </c>
      <c r="K429" s="1" t="s">
        <v>1662</v>
      </c>
      <c r="L429" s="1" t="s">
        <v>1668</v>
      </c>
      <c r="M429" s="1" t="s">
        <v>22</v>
      </c>
      <c r="N429" s="1" t="s">
        <v>118</v>
      </c>
      <c r="O429" s="1" t="s">
        <v>262</v>
      </c>
      <c r="P429" s="1" t="s">
        <v>223</v>
      </c>
      <c r="Q429" s="1" t="s">
        <v>1669</v>
      </c>
      <c r="R429" s="1" t="s">
        <v>1670</v>
      </c>
      <c r="S429" s="75">
        <v>40778</v>
      </c>
      <c r="T429" s="1">
        <v>0</v>
      </c>
      <c r="U429" s="1" t="s">
        <v>1671</v>
      </c>
      <c r="V429" s="1" t="s">
        <v>27</v>
      </c>
      <c r="W429" s="1" t="s">
        <v>1830</v>
      </c>
      <c r="X429" s="1" t="s">
        <v>1836</v>
      </c>
      <c r="Y429" s="1" t="s">
        <v>1856</v>
      </c>
      <c r="Z429" s="1" t="s">
        <v>1836</v>
      </c>
      <c r="AA429" s="75">
        <v>45839</v>
      </c>
      <c r="AB429" s="75">
        <v>45839</v>
      </c>
      <c r="AC429" s="88">
        <v>3000000</v>
      </c>
      <c r="AD429" s="88">
        <v>45000000</v>
      </c>
    </row>
    <row r="430" spans="1:30" ht="17.399999999999999" customHeight="1" x14ac:dyDescent="0.4">
      <c r="A430" s="29">
        <v>427</v>
      </c>
      <c r="B430" s="29" t="str">
        <f t="shared" ref="B430" si="32">MID(F430,8,3)</f>
        <v>429</v>
      </c>
      <c r="C430" s="29" t="str">
        <f t="shared" ref="C430" si="33">MID(F430,1,1)</f>
        <v>H</v>
      </c>
      <c r="D430" s="29" t="str">
        <f t="shared" ref="D430" si="34">MID(F430,3,1)</f>
        <v>O</v>
      </c>
      <c r="E430" s="29" t="str">
        <f t="shared" ref="E430" si="35">MID(F430,2,1)</f>
        <v>O</v>
      </c>
      <c r="F430" s="1" t="s">
        <v>1969</v>
      </c>
      <c r="G430" s="1" t="s">
        <v>675</v>
      </c>
      <c r="H430" s="1" t="s">
        <v>359</v>
      </c>
      <c r="I430" s="1" t="s">
        <v>19</v>
      </c>
      <c r="J430" s="1" t="s">
        <v>676</v>
      </c>
      <c r="K430" s="1" t="s">
        <v>1677</v>
      </c>
      <c r="L430" s="1" t="s">
        <v>1672</v>
      </c>
      <c r="M430" s="1" t="s">
        <v>22</v>
      </c>
      <c r="N430" s="1" t="s">
        <v>1673</v>
      </c>
      <c r="O430" s="1" t="s">
        <v>1682</v>
      </c>
      <c r="P430" s="1" t="s">
        <v>223</v>
      </c>
      <c r="Q430" s="1" t="s">
        <v>1702</v>
      </c>
      <c r="R430" s="1" t="s">
        <v>1703</v>
      </c>
      <c r="S430" s="75">
        <v>44886</v>
      </c>
      <c r="T430" s="1">
        <v>0</v>
      </c>
      <c r="U430" s="1" t="s">
        <v>1704</v>
      </c>
      <c r="V430" s="1" t="s">
        <v>36</v>
      </c>
      <c r="W430" s="1"/>
      <c r="X430" s="1"/>
      <c r="Y430" s="1"/>
      <c r="Z430" s="1" t="s">
        <v>1836</v>
      </c>
      <c r="AA430" s="75">
        <v>45839</v>
      </c>
      <c r="AB430" s="75">
        <v>45839</v>
      </c>
      <c r="AC430" s="88">
        <v>3000000</v>
      </c>
      <c r="AD430" s="88">
        <v>80000000</v>
      </c>
    </row>
    <row r="431" spans="1:30" ht="17.399999999999999" customHeight="1" x14ac:dyDescent="0.4">
      <c r="A431" s="29">
        <v>428</v>
      </c>
      <c r="B431" s="29" t="str">
        <f t="shared" ref="B431:B432" si="36">MID(F431,8,3)</f>
        <v>430</v>
      </c>
      <c r="C431" s="29" t="str">
        <f t="shared" ref="C431:C432" si="37">MID(F431,1,1)</f>
        <v>E</v>
      </c>
      <c r="D431" s="29" t="str">
        <f t="shared" ref="D431:D432" si="38">MID(F431,3,1)</f>
        <v>B</v>
      </c>
      <c r="E431" s="29" t="str">
        <f t="shared" ref="E431:E432" si="39">MID(F431,2,1)</f>
        <v>O</v>
      </c>
      <c r="F431" s="1" t="s">
        <v>1675</v>
      </c>
      <c r="G431" s="1" t="s">
        <v>675</v>
      </c>
      <c r="H431" s="1" t="s">
        <v>359</v>
      </c>
      <c r="I431" s="1" t="s">
        <v>19</v>
      </c>
      <c r="J431" s="1" t="s">
        <v>676</v>
      </c>
      <c r="K431" s="1" t="s">
        <v>1677</v>
      </c>
      <c r="L431" s="1" t="s">
        <v>1678</v>
      </c>
      <c r="M431" s="1" t="s">
        <v>22</v>
      </c>
      <c r="N431" s="1" t="s">
        <v>1970</v>
      </c>
      <c r="O431" s="1" t="s">
        <v>1683</v>
      </c>
      <c r="P431" s="1" t="s">
        <v>1684</v>
      </c>
      <c r="Q431" s="1" t="s">
        <v>1685</v>
      </c>
      <c r="R431" s="1" t="s">
        <v>1686</v>
      </c>
      <c r="S431" s="75">
        <v>43983</v>
      </c>
      <c r="T431" s="1">
        <v>0</v>
      </c>
      <c r="U431" s="1" t="s">
        <v>1687</v>
      </c>
      <c r="V431" s="1" t="s">
        <v>36</v>
      </c>
      <c r="W431" s="1"/>
      <c r="X431" s="1"/>
      <c r="Y431" s="1"/>
      <c r="Z431" s="1" t="s">
        <v>1836</v>
      </c>
      <c r="AA431" s="75">
        <v>45839</v>
      </c>
      <c r="AB431" s="75">
        <v>45839</v>
      </c>
      <c r="AC431" s="88">
        <v>2525900</v>
      </c>
      <c r="AD431" s="88">
        <v>50000000</v>
      </c>
    </row>
    <row r="432" spans="1:30" ht="17.399999999999999" customHeight="1" x14ac:dyDescent="0.4">
      <c r="A432" s="29">
        <v>429</v>
      </c>
      <c r="B432" s="29" t="str">
        <f t="shared" si="36"/>
        <v>431</v>
      </c>
      <c r="C432" s="29" t="str">
        <f t="shared" si="37"/>
        <v>E</v>
      </c>
      <c r="D432" s="29" t="str">
        <f t="shared" si="38"/>
        <v>O</v>
      </c>
      <c r="E432" s="29" t="str">
        <f t="shared" si="39"/>
        <v>O</v>
      </c>
      <c r="F432" s="1" t="s">
        <v>1676</v>
      </c>
      <c r="G432" s="1" t="s">
        <v>675</v>
      </c>
      <c r="H432" s="1" t="s">
        <v>359</v>
      </c>
      <c r="I432" s="1" t="s">
        <v>19</v>
      </c>
      <c r="J432" s="1" t="s">
        <v>676</v>
      </c>
      <c r="K432" s="1" t="s">
        <v>1679</v>
      </c>
      <c r="L432" s="1" t="s">
        <v>1680</v>
      </c>
      <c r="M432" s="1" t="s">
        <v>22</v>
      </c>
      <c r="N432" s="1" t="s">
        <v>1681</v>
      </c>
      <c r="O432" s="1" t="s">
        <v>339</v>
      </c>
      <c r="P432" s="1" t="s">
        <v>1688</v>
      </c>
      <c r="Q432" s="1" t="s">
        <v>1689</v>
      </c>
      <c r="R432" s="1" t="s">
        <v>1690</v>
      </c>
      <c r="S432" s="75">
        <v>42099</v>
      </c>
      <c r="T432" s="1">
        <v>0</v>
      </c>
      <c r="U432" s="1" t="s">
        <v>1691</v>
      </c>
      <c r="V432" s="1" t="s">
        <v>36</v>
      </c>
      <c r="W432" s="1"/>
      <c r="X432" s="1"/>
      <c r="Y432" s="1"/>
      <c r="Z432" s="1" t="s">
        <v>1836</v>
      </c>
      <c r="AA432" s="75">
        <v>45839</v>
      </c>
      <c r="AB432" s="75">
        <v>45839</v>
      </c>
      <c r="AC432" s="88">
        <v>9480000</v>
      </c>
      <c r="AD432" s="88">
        <v>42000000</v>
      </c>
    </row>
    <row r="433" spans="1:30" x14ac:dyDescent="0.4">
      <c r="A433" s="29">
        <v>429</v>
      </c>
      <c r="B433" s="29" t="str">
        <f t="shared" ref="B433:B436" si="40">MID(F433,8,3)</f>
        <v>432</v>
      </c>
      <c r="C433" s="29" t="str">
        <f t="shared" ref="C433:C436" si="41">MID(F433,1,1)</f>
        <v>D</v>
      </c>
      <c r="D433" s="29" t="str">
        <f t="shared" ref="D433:D436" si="42">MID(F433,3,1)</f>
        <v>B</v>
      </c>
      <c r="E433" s="29" t="str">
        <f t="shared" ref="E433:E436" si="43">MID(F433,2,1)</f>
        <v>F</v>
      </c>
      <c r="F433" s="1" t="s">
        <v>1751</v>
      </c>
      <c r="G433" s="1" t="s">
        <v>1731</v>
      </c>
      <c r="H433" s="1" t="s">
        <v>359</v>
      </c>
      <c r="I433" s="1" t="s">
        <v>19</v>
      </c>
      <c r="J433" s="1" t="s">
        <v>1362</v>
      </c>
      <c r="K433" s="1" t="s">
        <v>439</v>
      </c>
      <c r="L433" s="1" t="s">
        <v>1732</v>
      </c>
      <c r="M433" s="1" t="s">
        <v>22</v>
      </c>
      <c r="N433" s="1" t="s">
        <v>118</v>
      </c>
      <c r="O433" s="1" t="s">
        <v>33</v>
      </c>
      <c r="P433" s="1" t="s">
        <v>41</v>
      </c>
      <c r="Q433" s="1" t="s">
        <v>424</v>
      </c>
      <c r="R433" s="1" t="s">
        <v>1733</v>
      </c>
      <c r="S433" s="75">
        <v>45896</v>
      </c>
      <c r="T433" s="1">
        <v>0</v>
      </c>
      <c r="U433" s="1"/>
      <c r="V433" s="1" t="s">
        <v>27</v>
      </c>
      <c r="W433" s="1" t="s">
        <v>1830</v>
      </c>
      <c r="X433" s="1" t="s">
        <v>1836</v>
      </c>
      <c r="Y433" s="1" t="s">
        <v>1839</v>
      </c>
      <c r="Z433" s="1" t="s">
        <v>1836</v>
      </c>
      <c r="AA433" s="75">
        <v>45898</v>
      </c>
      <c r="AB433" s="75">
        <v>45901</v>
      </c>
      <c r="AC433" s="88">
        <v>895000</v>
      </c>
      <c r="AD433" s="88">
        <v>34160000</v>
      </c>
    </row>
    <row r="434" spans="1:30" ht="17.399999999999999" customHeight="1" x14ac:dyDescent="0.4">
      <c r="A434" s="29">
        <v>427</v>
      </c>
      <c r="B434" s="29" t="str">
        <f t="shared" si="40"/>
        <v>433</v>
      </c>
      <c r="C434" s="29" t="str">
        <f t="shared" si="41"/>
        <v>T</v>
      </c>
      <c r="D434" s="29" t="str">
        <f t="shared" si="42"/>
        <v>B</v>
      </c>
      <c r="E434" s="29" t="str">
        <f t="shared" si="43"/>
        <v>F</v>
      </c>
      <c r="F434" s="1" t="s">
        <v>1789</v>
      </c>
      <c r="G434" s="1" t="s">
        <v>1790</v>
      </c>
      <c r="H434" s="1" t="s">
        <v>1836</v>
      </c>
      <c r="I434" s="1" t="s">
        <v>19</v>
      </c>
      <c r="J434" s="1" t="s">
        <v>1362</v>
      </c>
      <c r="K434" s="1" t="s">
        <v>1790</v>
      </c>
      <c r="L434" s="1" t="s">
        <v>1791</v>
      </c>
      <c r="M434" s="1" t="s">
        <v>22</v>
      </c>
      <c r="N434" s="1" t="s">
        <v>118</v>
      </c>
      <c r="O434" s="1" t="s">
        <v>33</v>
      </c>
      <c r="P434" s="1" t="s">
        <v>124</v>
      </c>
      <c r="Q434" s="1" t="s">
        <v>1792</v>
      </c>
      <c r="R434" s="1" t="s">
        <v>1793</v>
      </c>
      <c r="S434" s="75">
        <v>43070</v>
      </c>
      <c r="T434" s="1">
        <v>0</v>
      </c>
      <c r="U434" s="1"/>
      <c r="V434" s="1" t="s">
        <v>36</v>
      </c>
      <c r="W434" s="1"/>
      <c r="X434" s="1"/>
      <c r="Y434" s="1"/>
      <c r="Z434" s="1" t="s">
        <v>1836</v>
      </c>
      <c r="AA434" s="75">
        <v>45960</v>
      </c>
      <c r="AB434" s="75">
        <v>45962</v>
      </c>
      <c r="AC434" s="88">
        <v>600000</v>
      </c>
      <c r="AD434" s="88">
        <v>15987410</v>
      </c>
    </row>
    <row r="435" spans="1:30" ht="17.399999999999999" customHeight="1" x14ac:dyDescent="0.4">
      <c r="A435" s="29">
        <v>428</v>
      </c>
      <c r="B435" s="29" t="str">
        <f t="shared" si="40"/>
        <v>434</v>
      </c>
      <c r="C435" s="29" t="str">
        <f t="shared" si="41"/>
        <v>T</v>
      </c>
      <c r="D435" s="29" t="str">
        <f t="shared" si="42"/>
        <v>B</v>
      </c>
      <c r="E435" s="29" t="str">
        <f t="shared" si="43"/>
        <v>F</v>
      </c>
      <c r="F435" s="1" t="s">
        <v>1794</v>
      </c>
      <c r="G435" s="1" t="s">
        <v>1790</v>
      </c>
      <c r="H435" s="1" t="s">
        <v>1836</v>
      </c>
      <c r="I435" s="1" t="s">
        <v>19</v>
      </c>
      <c r="J435" s="1" t="s">
        <v>1362</v>
      </c>
      <c r="K435" s="1" t="s">
        <v>1790</v>
      </c>
      <c r="L435" s="1" t="s">
        <v>1795</v>
      </c>
      <c r="M435" s="1" t="s">
        <v>22</v>
      </c>
      <c r="N435" s="1" t="s">
        <v>118</v>
      </c>
      <c r="O435" s="1" t="s">
        <v>33</v>
      </c>
      <c r="P435" s="1" t="s">
        <v>124</v>
      </c>
      <c r="Q435" s="1" t="s">
        <v>1246</v>
      </c>
      <c r="R435" s="1" t="s">
        <v>1796</v>
      </c>
      <c r="S435" s="75">
        <v>43922</v>
      </c>
      <c r="T435" s="1">
        <v>0</v>
      </c>
      <c r="U435" s="1"/>
      <c r="V435" s="1" t="s">
        <v>36</v>
      </c>
      <c r="W435" s="1"/>
      <c r="X435" s="1"/>
      <c r="Y435" s="1"/>
      <c r="Z435" s="1" t="s">
        <v>1836</v>
      </c>
      <c r="AA435" s="75">
        <v>45960</v>
      </c>
      <c r="AB435" s="75">
        <v>45962</v>
      </c>
      <c r="AC435" s="88">
        <v>560000</v>
      </c>
      <c r="AD435" s="88">
        <v>16050590</v>
      </c>
    </row>
    <row r="436" spans="1:30" ht="17.399999999999999" customHeight="1" x14ac:dyDescent="0.4">
      <c r="A436" s="29">
        <v>429</v>
      </c>
      <c r="B436" s="29" t="str">
        <f t="shared" si="40"/>
        <v>435</v>
      </c>
      <c r="C436" s="29" t="str">
        <f t="shared" si="41"/>
        <v>T</v>
      </c>
      <c r="D436" s="29" t="str">
        <f t="shared" si="42"/>
        <v>B</v>
      </c>
      <c r="E436" s="29" t="str">
        <f t="shared" si="43"/>
        <v>F</v>
      </c>
      <c r="F436" s="1" t="s">
        <v>1797</v>
      </c>
      <c r="G436" s="1" t="s">
        <v>1790</v>
      </c>
      <c r="H436" s="1" t="s">
        <v>1836</v>
      </c>
      <c r="I436" s="1" t="s">
        <v>19</v>
      </c>
      <c r="J436" s="1" t="s">
        <v>1362</v>
      </c>
      <c r="K436" s="1" t="s">
        <v>1790</v>
      </c>
      <c r="L436" s="1" t="s">
        <v>1798</v>
      </c>
      <c r="M436" s="1" t="s">
        <v>22</v>
      </c>
      <c r="N436" s="1" t="s">
        <v>118</v>
      </c>
      <c r="O436" s="1" t="s">
        <v>33</v>
      </c>
      <c r="P436" s="1" t="s">
        <v>124</v>
      </c>
      <c r="Q436" s="1" t="s">
        <v>1792</v>
      </c>
      <c r="R436" s="1" t="s">
        <v>1799</v>
      </c>
      <c r="S436" s="75">
        <v>44075</v>
      </c>
      <c r="T436" s="1">
        <v>0</v>
      </c>
      <c r="U436" s="1"/>
      <c r="V436" s="1" t="s">
        <v>36</v>
      </c>
      <c r="W436" s="1"/>
      <c r="X436" s="1"/>
      <c r="Y436" s="1"/>
      <c r="Z436" s="1" t="s">
        <v>1836</v>
      </c>
      <c r="AA436" s="75">
        <v>45960</v>
      </c>
      <c r="AB436" s="75">
        <v>45962</v>
      </c>
      <c r="AC436" s="88">
        <v>560000</v>
      </c>
      <c r="AD436" s="88">
        <v>15850590</v>
      </c>
    </row>
    <row r="437" spans="1:30" x14ac:dyDescent="0.4">
      <c r="A437" s="29">
        <v>429</v>
      </c>
      <c r="B437" s="29" t="str">
        <f t="shared" ref="B437:B439" si="44">MID(F437,8,3)</f>
        <v>436</v>
      </c>
      <c r="C437" s="29" t="str">
        <f t="shared" ref="C437:C439" si="45">MID(F437,1,1)</f>
        <v>T</v>
      </c>
      <c r="D437" s="29" t="str">
        <f t="shared" ref="D437:D439" si="46">MID(F437,3,1)</f>
        <v>B</v>
      </c>
      <c r="E437" s="29" t="str">
        <f t="shared" ref="E437:E439" si="47">MID(F437,2,1)</f>
        <v>F</v>
      </c>
      <c r="F437" s="1" t="s">
        <v>1800</v>
      </c>
      <c r="G437" s="1" t="s">
        <v>1790</v>
      </c>
      <c r="H437" s="1" t="s">
        <v>1836</v>
      </c>
      <c r="I437" s="1" t="s">
        <v>19</v>
      </c>
      <c r="J437" s="1" t="s">
        <v>1362</v>
      </c>
      <c r="K437" s="1" t="s">
        <v>1790</v>
      </c>
      <c r="L437" s="1" t="s">
        <v>1801</v>
      </c>
      <c r="M437" s="1" t="s">
        <v>22</v>
      </c>
      <c r="N437" s="1" t="s">
        <v>118</v>
      </c>
      <c r="O437" s="1" t="s">
        <v>33</v>
      </c>
      <c r="P437" s="1" t="s">
        <v>124</v>
      </c>
      <c r="Q437" s="1" t="s">
        <v>1246</v>
      </c>
      <c r="R437" s="1" t="s">
        <v>1802</v>
      </c>
      <c r="S437" s="75">
        <v>44378</v>
      </c>
      <c r="T437" s="1">
        <v>0</v>
      </c>
      <c r="U437" s="1"/>
      <c r="V437" s="1" t="s">
        <v>36</v>
      </c>
      <c r="W437" s="1"/>
      <c r="X437" s="1"/>
      <c r="Y437" s="1"/>
      <c r="Z437" s="1" t="s">
        <v>1836</v>
      </c>
      <c r="AA437" s="75">
        <v>45960</v>
      </c>
      <c r="AB437" s="75">
        <v>45962</v>
      </c>
      <c r="AC437" s="88">
        <v>560000</v>
      </c>
      <c r="AD437" s="88">
        <v>16252590</v>
      </c>
    </row>
    <row r="438" spans="1:30" ht="17.399999999999999" customHeight="1" x14ac:dyDescent="0.4">
      <c r="A438" s="29">
        <v>428</v>
      </c>
      <c r="B438" s="29" t="str">
        <f t="shared" si="44"/>
        <v>437</v>
      </c>
      <c r="C438" s="29" t="str">
        <f t="shared" si="45"/>
        <v>T</v>
      </c>
      <c r="D438" s="29" t="str">
        <f t="shared" si="46"/>
        <v>B</v>
      </c>
      <c r="E438" s="29" t="str">
        <f t="shared" si="47"/>
        <v>F</v>
      </c>
      <c r="F438" s="1" t="s">
        <v>1803</v>
      </c>
      <c r="G438" s="1" t="s">
        <v>1790</v>
      </c>
      <c r="H438" s="1" t="s">
        <v>1836</v>
      </c>
      <c r="I438" s="1" t="s">
        <v>19</v>
      </c>
      <c r="J438" s="1" t="s">
        <v>1362</v>
      </c>
      <c r="K438" s="1" t="s">
        <v>1790</v>
      </c>
      <c r="L438" s="1" t="s">
        <v>1804</v>
      </c>
      <c r="M438" s="1" t="s">
        <v>22</v>
      </c>
      <c r="N438" s="1" t="s">
        <v>118</v>
      </c>
      <c r="O438" s="1" t="s">
        <v>33</v>
      </c>
      <c r="P438" s="1" t="s">
        <v>124</v>
      </c>
      <c r="Q438" s="1" t="s">
        <v>1792</v>
      </c>
      <c r="R438" s="1" t="s">
        <v>1805</v>
      </c>
      <c r="S438" s="75">
        <v>43435</v>
      </c>
      <c r="T438" s="1">
        <v>0</v>
      </c>
      <c r="U438" s="1"/>
      <c r="V438" s="1" t="s">
        <v>36</v>
      </c>
      <c r="W438" s="1"/>
      <c r="X438" s="1"/>
      <c r="Y438" s="1"/>
      <c r="Z438" s="1" t="s">
        <v>1836</v>
      </c>
      <c r="AA438" s="75">
        <v>45960</v>
      </c>
      <c r="AB438" s="75">
        <v>45962</v>
      </c>
      <c r="AC438" s="88">
        <v>560000</v>
      </c>
      <c r="AD438" s="88">
        <v>16211090</v>
      </c>
    </row>
    <row r="439" spans="1:30" ht="17.399999999999999" customHeight="1" x14ac:dyDescent="0.4">
      <c r="A439" s="29">
        <v>429</v>
      </c>
      <c r="B439" s="29" t="str">
        <f t="shared" si="44"/>
        <v>438</v>
      </c>
      <c r="C439" s="29" t="str">
        <f t="shared" si="45"/>
        <v>T</v>
      </c>
      <c r="D439" s="29" t="str">
        <f t="shared" si="46"/>
        <v>B</v>
      </c>
      <c r="E439" s="29" t="str">
        <f t="shared" si="47"/>
        <v>F</v>
      </c>
      <c r="F439" s="1" t="s">
        <v>1806</v>
      </c>
      <c r="G439" s="1" t="s">
        <v>1790</v>
      </c>
      <c r="H439" s="1" t="s">
        <v>1836</v>
      </c>
      <c r="I439" s="1" t="s">
        <v>19</v>
      </c>
      <c r="J439" s="1" t="s">
        <v>1362</v>
      </c>
      <c r="K439" s="1" t="s">
        <v>1790</v>
      </c>
      <c r="L439" s="1" t="s">
        <v>1807</v>
      </c>
      <c r="M439" s="1" t="s">
        <v>22</v>
      </c>
      <c r="N439" s="1" t="s">
        <v>118</v>
      </c>
      <c r="O439" s="1" t="s">
        <v>129</v>
      </c>
      <c r="P439" s="1" t="s">
        <v>124</v>
      </c>
      <c r="Q439" s="1" t="s">
        <v>1808</v>
      </c>
      <c r="R439" s="1" t="s">
        <v>1809</v>
      </c>
      <c r="S439" s="75">
        <v>44256</v>
      </c>
      <c r="T439" s="1">
        <v>0</v>
      </c>
      <c r="U439" s="1"/>
      <c r="V439" s="1" t="s">
        <v>36</v>
      </c>
      <c r="W439" s="1"/>
      <c r="X439" s="1"/>
      <c r="Y439" s="1"/>
      <c r="Z439" s="1" t="s">
        <v>1836</v>
      </c>
      <c r="AA439" s="75">
        <v>45960</v>
      </c>
      <c r="AB439" s="75">
        <v>45962</v>
      </c>
      <c r="AC439" s="88">
        <v>580000</v>
      </c>
      <c r="AD439" s="88">
        <v>13236090</v>
      </c>
    </row>
    <row r="440" spans="1:30" x14ac:dyDescent="0.4">
      <c r="A440" s="29">
        <v>429</v>
      </c>
      <c r="B440" s="29" t="str">
        <f t="shared" ref="B440" si="48">MID(F440,8,3)</f>
        <v>439</v>
      </c>
      <c r="C440" s="29" t="str">
        <f t="shared" ref="C440" si="49">MID(F440,1,1)</f>
        <v>C</v>
      </c>
      <c r="D440" s="29" t="str">
        <f t="shared" ref="D440" si="50">MID(F440,3,1)</f>
        <v>O</v>
      </c>
      <c r="E440" s="29" t="str">
        <f t="shared" ref="E440" si="51">MID(F440,2,1)</f>
        <v>F</v>
      </c>
      <c r="F440" s="1" t="s">
        <v>1810</v>
      </c>
      <c r="G440" s="1" t="s">
        <v>1790</v>
      </c>
      <c r="H440" s="1" t="s">
        <v>1836</v>
      </c>
      <c r="I440" s="1" t="s">
        <v>19</v>
      </c>
      <c r="J440" s="1" t="s">
        <v>1362</v>
      </c>
      <c r="K440" s="1" t="s">
        <v>1790</v>
      </c>
      <c r="L440" s="1" t="s">
        <v>1811</v>
      </c>
      <c r="M440" s="1" t="s">
        <v>22</v>
      </c>
      <c r="N440" s="1" t="s">
        <v>118</v>
      </c>
      <c r="O440" s="1" t="s">
        <v>23</v>
      </c>
      <c r="P440" s="1" t="s">
        <v>24</v>
      </c>
      <c r="Q440" s="1" t="s">
        <v>490</v>
      </c>
      <c r="R440" s="1" t="s">
        <v>1812</v>
      </c>
      <c r="S440" s="75">
        <v>43768</v>
      </c>
      <c r="T440" s="1">
        <v>0</v>
      </c>
      <c r="U440" s="1" t="s">
        <v>1971</v>
      </c>
      <c r="V440" s="1" t="s">
        <v>36</v>
      </c>
      <c r="W440" s="1"/>
      <c r="X440" s="1"/>
      <c r="Y440" s="1"/>
      <c r="Z440" s="1" t="s">
        <v>1836</v>
      </c>
      <c r="AA440" s="75">
        <v>45960</v>
      </c>
      <c r="AB440" s="75">
        <v>45962</v>
      </c>
      <c r="AC440" s="88">
        <v>700000</v>
      </c>
      <c r="AD440" s="88">
        <v>19812200</v>
      </c>
    </row>
    <row r="441" spans="1:30" x14ac:dyDescent="0.4">
      <c r="A441" s="29">
        <v>430</v>
      </c>
      <c r="B441" s="29" t="str">
        <f t="shared" ref="B441:B444" si="52">MID(F441,8,3)</f>
        <v>440</v>
      </c>
      <c r="C441" s="29" t="str">
        <f t="shared" ref="C441:C444" si="53">MID(F441,1,1)</f>
        <v>S</v>
      </c>
      <c r="D441" s="29" t="str">
        <f t="shared" ref="D441:D444" si="54">MID(F441,3,1)</f>
        <v>B</v>
      </c>
      <c r="E441" s="29" t="str">
        <f t="shared" ref="E441:E444" si="55">MID(F441,2,1)</f>
        <v>H</v>
      </c>
      <c r="F441" s="1" t="s">
        <v>2037</v>
      </c>
      <c r="G441" s="1" t="s">
        <v>413</v>
      </c>
      <c r="H441" s="1" t="s">
        <v>413</v>
      </c>
      <c r="I441" s="1" t="s">
        <v>19</v>
      </c>
      <c r="J441" s="1" t="s">
        <v>414</v>
      </c>
      <c r="K441" s="1" t="s">
        <v>413</v>
      </c>
      <c r="L441" s="1" t="s">
        <v>2038</v>
      </c>
      <c r="M441" s="1" t="s">
        <v>22</v>
      </c>
      <c r="N441" s="1" t="s">
        <v>1886</v>
      </c>
      <c r="O441" s="1" t="s">
        <v>129</v>
      </c>
      <c r="P441" s="1" t="s">
        <v>613</v>
      </c>
      <c r="Q441" s="1" t="s">
        <v>1000</v>
      </c>
      <c r="R441" s="1" t="s">
        <v>2039</v>
      </c>
      <c r="S441" s="75">
        <v>46054</v>
      </c>
      <c r="T441" s="1">
        <v>0</v>
      </c>
      <c r="U441" s="1"/>
      <c r="V441" s="1" t="s">
        <v>36</v>
      </c>
      <c r="W441" s="1"/>
      <c r="X441" s="1"/>
      <c r="Y441" s="1"/>
      <c r="Z441" s="1" t="s">
        <v>1836</v>
      </c>
      <c r="AA441" s="75">
        <v>46054</v>
      </c>
      <c r="AB441" s="75">
        <v>46054</v>
      </c>
      <c r="AC441" s="88">
        <v>500000</v>
      </c>
      <c r="AD441" s="88">
        <v>14900000</v>
      </c>
    </row>
    <row r="442" spans="1:30" x14ac:dyDescent="0.4">
      <c r="A442" s="29">
        <v>431</v>
      </c>
      <c r="B442" s="29" t="str">
        <f t="shared" si="52"/>
        <v>441</v>
      </c>
      <c r="C442" s="29" t="str">
        <f t="shared" si="53"/>
        <v>C</v>
      </c>
      <c r="D442" s="29" t="str">
        <f t="shared" si="54"/>
        <v>O</v>
      </c>
      <c r="E442" s="29" t="str">
        <f t="shared" si="55"/>
        <v>F</v>
      </c>
      <c r="F442" s="1" t="s">
        <v>2066</v>
      </c>
      <c r="G442" s="1" t="s">
        <v>1836</v>
      </c>
      <c r="H442" s="1" t="s">
        <v>1693</v>
      </c>
      <c r="I442" s="1" t="s">
        <v>19</v>
      </c>
      <c r="J442" s="1" t="s">
        <v>31</v>
      </c>
      <c r="K442" s="1" t="s">
        <v>2034</v>
      </c>
      <c r="L442" s="1" t="s">
        <v>2040</v>
      </c>
      <c r="M442" s="1" t="s">
        <v>22</v>
      </c>
      <c r="N442" s="1" t="s">
        <v>118</v>
      </c>
      <c r="O442" s="1" t="s">
        <v>254</v>
      </c>
      <c r="P442" s="1" t="s">
        <v>24</v>
      </c>
      <c r="Q442" s="1" t="s">
        <v>2045</v>
      </c>
      <c r="R442" s="1" t="s">
        <v>2046</v>
      </c>
      <c r="S442" s="75">
        <v>40354</v>
      </c>
      <c r="T442" s="1">
        <v>0</v>
      </c>
      <c r="U442" s="1" t="s">
        <v>2047</v>
      </c>
      <c r="V442" s="1" t="s">
        <v>36</v>
      </c>
      <c r="W442" s="1"/>
      <c r="X442" s="1"/>
      <c r="Y442" s="1"/>
      <c r="Z442" s="1" t="s">
        <v>1836</v>
      </c>
      <c r="AA442" s="75">
        <v>46059</v>
      </c>
      <c r="AB442" s="75">
        <v>46062</v>
      </c>
      <c r="AC442" s="88">
        <v>0</v>
      </c>
      <c r="AD442" s="88">
        <v>7300000</v>
      </c>
    </row>
    <row r="443" spans="1:30" x14ac:dyDescent="0.4">
      <c r="A443" s="29">
        <v>432</v>
      </c>
      <c r="B443" s="29" t="str">
        <f t="shared" si="52"/>
        <v>442</v>
      </c>
      <c r="C443" s="29" t="str">
        <f t="shared" si="53"/>
        <v>E</v>
      </c>
      <c r="D443" s="29" t="str">
        <f t="shared" si="54"/>
        <v>B</v>
      </c>
      <c r="E443" s="29" t="str">
        <f t="shared" si="55"/>
        <v>O</v>
      </c>
      <c r="F443" s="1" t="s">
        <v>2041</v>
      </c>
      <c r="G443" s="1" t="s">
        <v>476</v>
      </c>
      <c r="H443" s="1" t="s">
        <v>45</v>
      </c>
      <c r="I443" s="1" t="s">
        <v>19</v>
      </c>
      <c r="J443" s="1" t="s">
        <v>31</v>
      </c>
      <c r="K443" s="1" t="s">
        <v>476</v>
      </c>
      <c r="L443" s="1" t="s">
        <v>2042</v>
      </c>
      <c r="M443" s="1" t="s">
        <v>22</v>
      </c>
      <c r="N443" s="1" t="s">
        <v>1883</v>
      </c>
      <c r="O443" s="1" t="s">
        <v>300</v>
      </c>
      <c r="P443" s="1" t="s">
        <v>301</v>
      </c>
      <c r="Q443" s="1" t="s">
        <v>302</v>
      </c>
      <c r="R443" s="1"/>
      <c r="S443" s="75">
        <v>45292</v>
      </c>
      <c r="T443" s="1">
        <v>0</v>
      </c>
      <c r="U443" s="1"/>
      <c r="V443" s="1" t="s">
        <v>36</v>
      </c>
      <c r="W443" s="1"/>
      <c r="X443" s="1"/>
      <c r="Y443" s="1"/>
      <c r="Z443" s="1" t="s">
        <v>45</v>
      </c>
      <c r="AA443" s="75">
        <v>45292</v>
      </c>
      <c r="AB443" s="75">
        <v>45292</v>
      </c>
      <c r="AC443" s="88">
        <v>1050000</v>
      </c>
      <c r="AD443" s="88">
        <v>18500000</v>
      </c>
    </row>
    <row r="444" spans="1:30" ht="18" customHeight="1" x14ac:dyDescent="0.4">
      <c r="A444" s="29">
        <v>433</v>
      </c>
      <c r="B444" s="29" t="str">
        <f t="shared" si="52"/>
        <v>443</v>
      </c>
      <c r="C444" s="29" t="str">
        <f t="shared" si="53"/>
        <v>E</v>
      </c>
      <c r="D444" s="29" t="str">
        <f t="shared" si="54"/>
        <v>B</v>
      </c>
      <c r="E444" s="29" t="str">
        <f t="shared" si="55"/>
        <v>O</v>
      </c>
      <c r="F444" s="1" t="s">
        <v>2043</v>
      </c>
      <c r="G444" s="1" t="s">
        <v>2027</v>
      </c>
      <c r="H444" s="1" t="s">
        <v>1693</v>
      </c>
      <c r="I444" s="1" t="s">
        <v>276</v>
      </c>
      <c r="J444" s="1" t="s">
        <v>31</v>
      </c>
      <c r="K444" s="1" t="s">
        <v>276</v>
      </c>
      <c r="L444" s="1" t="s">
        <v>276</v>
      </c>
      <c r="M444" s="1" t="s">
        <v>22</v>
      </c>
      <c r="N444" s="1" t="s">
        <v>1883</v>
      </c>
      <c r="O444" s="1" t="s">
        <v>300</v>
      </c>
      <c r="P444" s="1" t="s">
        <v>301</v>
      </c>
      <c r="Q444" s="1" t="s">
        <v>302</v>
      </c>
      <c r="R444" s="1"/>
      <c r="S444" s="75">
        <v>44927</v>
      </c>
      <c r="T444" s="1">
        <v>0</v>
      </c>
      <c r="U444" s="1"/>
      <c r="V444" s="1" t="s">
        <v>36</v>
      </c>
      <c r="W444" s="1"/>
      <c r="X444" s="1"/>
      <c r="Y444" s="1"/>
      <c r="Z444" s="1" t="s">
        <v>45</v>
      </c>
      <c r="AA444" s="75">
        <v>44927</v>
      </c>
      <c r="AB444" s="75">
        <v>46082</v>
      </c>
      <c r="AC444" s="88">
        <v>0</v>
      </c>
      <c r="AD444" s="88">
        <v>17800000</v>
      </c>
    </row>
    <row r="445" spans="1:30" ht="18" customHeight="1" x14ac:dyDescent="0.4">
      <c r="A445" s="29">
        <v>434</v>
      </c>
      <c r="B445" s="29" t="str">
        <f t="shared" ref="B445:B447" si="56">MID(F445,8,3)</f>
        <v>444</v>
      </c>
      <c r="C445" s="29" t="str">
        <f t="shared" ref="C445:C447" si="57">MID(F445,1,1)</f>
        <v>E</v>
      </c>
      <c r="D445" s="29" t="str">
        <f t="shared" ref="D445:D447" si="58">MID(F445,3,1)</f>
        <v>B</v>
      </c>
      <c r="E445" s="29" t="str">
        <f t="shared" ref="E445:E447" si="59">MID(F445,2,1)</f>
        <v>O</v>
      </c>
      <c r="F445" s="1" t="s">
        <v>2067</v>
      </c>
      <c r="G445" s="1" t="s">
        <v>476</v>
      </c>
      <c r="H445" s="1" t="s">
        <v>45</v>
      </c>
      <c r="I445" s="1" t="s">
        <v>19</v>
      </c>
      <c r="J445" s="1" t="s">
        <v>31</v>
      </c>
      <c r="K445" s="1" t="s">
        <v>476</v>
      </c>
      <c r="L445" s="1" t="s">
        <v>2068</v>
      </c>
      <c r="M445" s="1" t="s">
        <v>22</v>
      </c>
      <c r="N445" s="1" t="s">
        <v>1883</v>
      </c>
      <c r="O445" s="1" t="s">
        <v>300</v>
      </c>
      <c r="P445" s="1" t="s">
        <v>301</v>
      </c>
      <c r="Q445" s="1" t="s">
        <v>2048</v>
      </c>
      <c r="R445" s="1"/>
      <c r="S445" s="75">
        <v>46082</v>
      </c>
      <c r="T445" s="1">
        <v>0</v>
      </c>
      <c r="U445" s="1"/>
      <c r="V445" s="1" t="s">
        <v>36</v>
      </c>
      <c r="W445" s="1"/>
      <c r="X445" s="1"/>
      <c r="Y445" s="1"/>
      <c r="Z445" s="1" t="s">
        <v>45</v>
      </c>
      <c r="AA445" s="75">
        <v>46082</v>
      </c>
      <c r="AB445" s="75">
        <v>46082</v>
      </c>
      <c r="AC445" s="88">
        <v>1000000</v>
      </c>
      <c r="AD445" s="88">
        <v>0</v>
      </c>
    </row>
    <row r="446" spans="1:30" ht="18" customHeight="1" x14ac:dyDescent="0.4">
      <c r="A446" s="29">
        <v>435</v>
      </c>
      <c r="B446" s="29" t="str">
        <f t="shared" si="56"/>
        <v>445</v>
      </c>
      <c r="C446" s="29" t="str">
        <f t="shared" si="57"/>
        <v>C</v>
      </c>
      <c r="D446" s="29" t="str">
        <f t="shared" si="58"/>
        <v>O</v>
      </c>
      <c r="E446" s="29" t="str">
        <f t="shared" si="59"/>
        <v>F</v>
      </c>
      <c r="F446" s="1" t="s">
        <v>2069</v>
      </c>
      <c r="G446" s="1" t="s">
        <v>218</v>
      </c>
      <c r="H446" s="1" t="s">
        <v>218</v>
      </c>
      <c r="I446" s="1" t="s">
        <v>19</v>
      </c>
      <c r="J446" s="1" t="s">
        <v>31</v>
      </c>
      <c r="K446" s="1" t="s">
        <v>218</v>
      </c>
      <c r="L446" s="1" t="s">
        <v>2070</v>
      </c>
      <c r="M446" s="1" t="s">
        <v>22</v>
      </c>
      <c r="N446" s="1" t="s">
        <v>118</v>
      </c>
      <c r="O446" s="1" t="s">
        <v>23</v>
      </c>
      <c r="P446" s="1" t="s">
        <v>24</v>
      </c>
      <c r="Q446" s="1" t="s">
        <v>2049</v>
      </c>
      <c r="R446" s="1" t="s">
        <v>2050</v>
      </c>
      <c r="S446" s="75">
        <v>46119</v>
      </c>
      <c r="T446" s="1">
        <v>0</v>
      </c>
      <c r="U446" s="1" t="s">
        <v>2051</v>
      </c>
      <c r="V446" s="1" t="s">
        <v>36</v>
      </c>
      <c r="W446" s="1"/>
      <c r="X446" s="1"/>
      <c r="Y446" s="1"/>
      <c r="Z446" s="1" t="s">
        <v>1836</v>
      </c>
      <c r="AA446" s="75">
        <v>46119</v>
      </c>
      <c r="AB446" s="75">
        <v>46119</v>
      </c>
      <c r="AC446" s="88">
        <v>1100000</v>
      </c>
      <c r="AD446" s="88">
        <v>34200000</v>
      </c>
    </row>
    <row r="447" spans="1:30" ht="18" customHeight="1" x14ac:dyDescent="0.4">
      <c r="A447" s="29">
        <v>436</v>
      </c>
      <c r="B447" s="29" t="str">
        <f t="shared" si="56"/>
        <v>446</v>
      </c>
      <c r="C447" s="29" t="str">
        <f t="shared" si="57"/>
        <v>C</v>
      </c>
      <c r="D447" s="29" t="str">
        <f t="shared" si="58"/>
        <v>O</v>
      </c>
      <c r="E447" s="29" t="str">
        <f t="shared" si="59"/>
        <v>F</v>
      </c>
      <c r="F447" s="1" t="s">
        <v>2071</v>
      </c>
      <c r="G447" s="1" t="s">
        <v>218</v>
      </c>
      <c r="H447" s="1" t="s">
        <v>218</v>
      </c>
      <c r="I447" s="1" t="s">
        <v>19</v>
      </c>
      <c r="J447" s="1" t="s">
        <v>31</v>
      </c>
      <c r="K447" s="1" t="s">
        <v>218</v>
      </c>
      <c r="L447" s="1" t="s">
        <v>2072</v>
      </c>
      <c r="M447" s="1" t="s">
        <v>22</v>
      </c>
      <c r="N447" s="1" t="s">
        <v>118</v>
      </c>
      <c r="O447" s="1" t="s">
        <v>23</v>
      </c>
      <c r="P447" s="1" t="s">
        <v>24</v>
      </c>
      <c r="Q447" s="1" t="s">
        <v>2049</v>
      </c>
      <c r="R447" s="1" t="s">
        <v>2052</v>
      </c>
      <c r="S447" s="75">
        <v>46119</v>
      </c>
      <c r="T447" s="1">
        <v>0</v>
      </c>
      <c r="U447" s="1" t="s">
        <v>2053</v>
      </c>
      <c r="V447" s="1" t="s">
        <v>36</v>
      </c>
      <c r="W447" s="1"/>
      <c r="X447" s="1"/>
      <c r="Y447" s="1"/>
      <c r="Z447" s="1" t="s">
        <v>1836</v>
      </c>
      <c r="AA447" s="75">
        <v>46119</v>
      </c>
      <c r="AB447" s="75">
        <v>46119</v>
      </c>
      <c r="AC447" s="88">
        <v>1100000</v>
      </c>
      <c r="AD447" s="88">
        <v>35700000</v>
      </c>
    </row>
    <row r="448" spans="1:30" ht="18" customHeight="1" x14ac:dyDescent="0.4">
      <c r="A448" s="29"/>
      <c r="B448" s="29"/>
      <c r="C448" s="29"/>
      <c r="D448" s="29"/>
      <c r="E448" s="29"/>
      <c r="O448" s="4"/>
      <c r="S448" s="82"/>
      <c r="AA448" s="82"/>
      <c r="AB448" s="82"/>
      <c r="AC448" s="83"/>
      <c r="AD448" s="83"/>
    </row>
    <row r="449" spans="12:29" ht="17.399999999999999" customHeight="1" x14ac:dyDescent="0.4">
      <c r="L449" s="167" t="s">
        <v>1674</v>
      </c>
      <c r="M449" s="84" t="s">
        <v>1315</v>
      </c>
      <c r="N449" s="84">
        <f>COUNTIF($D$4:$D$440,"O")</f>
        <v>113</v>
      </c>
      <c r="O449" s="46" t="s">
        <v>1359</v>
      </c>
      <c r="P449" s="47">
        <f>SUM(COUNTIFS($D$4:$D$440, "O", $N$4:$N$440, "C/B"), COUNTIFS($D$4:$D$440, "O", $N$4:$N$440, "좌식"))</f>
        <v>111</v>
      </c>
      <c r="Q449" s="48">
        <f>SUM(P449)</f>
        <v>111</v>
      </c>
      <c r="R449" s="49" t="s">
        <v>1327</v>
      </c>
      <c r="S449" s="169" t="s">
        <v>1328</v>
      </c>
      <c r="T449" s="170"/>
      <c r="U449" s="49" t="s">
        <v>1329</v>
      </c>
      <c r="V449" s="31"/>
      <c r="W449" s="31"/>
      <c r="X449" s="31"/>
      <c r="Y449" s="31"/>
      <c r="Z449" s="50" t="s">
        <v>1330</v>
      </c>
      <c r="AA449" s="39">
        <f>COUNTIF(T9:T361,"Y")</f>
        <v>0</v>
      </c>
      <c r="AB449" s="29"/>
      <c r="AC449" s="29"/>
    </row>
    <row r="450" spans="12:29" x14ac:dyDescent="0.4">
      <c r="L450" s="168"/>
      <c r="M450" s="160" t="s">
        <v>1314</v>
      </c>
      <c r="N450" s="160">
        <f>COUNTIF($D$4:$D$440,"B")</f>
        <v>324</v>
      </c>
      <c r="O450" s="163" t="s">
        <v>1359</v>
      </c>
      <c r="P450" s="165">
        <f>SUM(COUNTIFS($D$4:$D$440, "B", $N$4:$N$440, "C/B"), COUNTIFS($D$4:$D$440, "B", $N$4:$N$440, "좌식"))</f>
        <v>152</v>
      </c>
      <c r="Q450" s="171">
        <f>SUM(P450:P452)</f>
        <v>264</v>
      </c>
      <c r="R450" s="49" t="s">
        <v>1331</v>
      </c>
      <c r="S450" s="158">
        <v>3.75</v>
      </c>
      <c r="T450" s="159"/>
      <c r="U450" s="153" t="s">
        <v>1336</v>
      </c>
      <c r="V450" s="31"/>
      <c r="W450" s="31"/>
      <c r="X450" s="31"/>
      <c r="Y450" s="31"/>
      <c r="Z450" s="53" t="s">
        <v>1332</v>
      </c>
      <c r="AA450" s="29"/>
      <c r="AB450" s="29"/>
      <c r="AC450" s="29"/>
    </row>
    <row r="451" spans="12:29" x14ac:dyDescent="0.4">
      <c r="L451" s="29"/>
      <c r="M451" s="161"/>
      <c r="N451" s="161"/>
      <c r="O451" s="164"/>
      <c r="P451" s="166"/>
      <c r="Q451" s="172"/>
      <c r="R451" s="54" t="s">
        <v>1333</v>
      </c>
      <c r="S451" s="156">
        <v>4.46</v>
      </c>
      <c r="T451" s="157"/>
      <c r="U451" s="154"/>
      <c r="V451" s="31"/>
      <c r="W451" s="31"/>
      <c r="X451" s="31"/>
      <c r="Y451" s="31"/>
      <c r="Z451" s="29"/>
      <c r="AA451" s="29"/>
      <c r="AB451" s="29"/>
      <c r="AC451" s="29"/>
    </row>
    <row r="452" spans="12:29" x14ac:dyDescent="0.4">
      <c r="L452" s="29"/>
      <c r="M452" s="161"/>
      <c r="N452" s="161"/>
      <c r="O452" s="51" t="s">
        <v>81</v>
      </c>
      <c r="P452" s="52">
        <f>COUNTIF(N4:N440,O452)</f>
        <v>112</v>
      </c>
      <c r="Q452" s="173"/>
      <c r="R452" s="49" t="s">
        <v>1334</v>
      </c>
      <c r="S452" s="158">
        <v>5.625</v>
      </c>
      <c r="T452" s="159"/>
      <c r="U452" s="155"/>
      <c r="V452" s="31"/>
      <c r="W452" s="31"/>
      <c r="X452" s="31"/>
      <c r="Y452" s="31"/>
      <c r="Z452" s="29"/>
      <c r="AA452" s="29"/>
      <c r="AB452" s="29"/>
      <c r="AC452" s="29"/>
    </row>
    <row r="453" spans="12:29" x14ac:dyDescent="0.4">
      <c r="L453" s="29"/>
      <c r="M453" s="161"/>
      <c r="N453" s="161"/>
      <c r="O453" s="55" t="s">
        <v>1972</v>
      </c>
      <c r="P453" s="56">
        <f>COUNTIF(N18:N440,O453)</f>
        <v>25</v>
      </c>
      <c r="Q453" s="174">
        <f>SUM(P453:P462)</f>
        <v>65</v>
      </c>
      <c r="R453" s="57"/>
      <c r="S453" s="29"/>
      <c r="T453" s="29"/>
      <c r="U453" s="29"/>
      <c r="V453" s="31"/>
      <c r="W453" s="31"/>
      <c r="X453" s="31"/>
      <c r="Y453" s="31"/>
      <c r="Z453" s="29"/>
      <c r="AA453" s="29"/>
      <c r="AB453" s="29"/>
      <c r="AC453" s="29"/>
    </row>
    <row r="454" spans="12:29" x14ac:dyDescent="0.4">
      <c r="L454" s="29"/>
      <c r="M454" s="161"/>
      <c r="N454" s="161"/>
      <c r="O454" s="55" t="s">
        <v>1973</v>
      </c>
      <c r="P454" s="56">
        <f>COUNTIF(N18:N439,O454)</f>
        <v>4</v>
      </c>
      <c r="Q454" s="175"/>
      <c r="R454" s="57"/>
      <c r="S454" s="29"/>
      <c r="T454" s="29"/>
      <c r="U454" s="29"/>
      <c r="V454" s="31"/>
      <c r="W454" s="31"/>
      <c r="X454" s="31"/>
      <c r="Y454" s="31"/>
      <c r="Z454" s="29"/>
      <c r="AA454" s="29"/>
      <c r="AB454" s="29"/>
      <c r="AC454" s="29"/>
    </row>
    <row r="455" spans="12:29" x14ac:dyDescent="0.4">
      <c r="L455" s="29"/>
      <c r="M455" s="161"/>
      <c r="N455" s="161"/>
      <c r="O455" s="55" t="s">
        <v>1866</v>
      </c>
      <c r="P455" s="56">
        <f>COUNTIF(N19:N440,O455)</f>
        <v>1</v>
      </c>
      <c r="Q455" s="175"/>
      <c r="R455" s="57"/>
      <c r="S455" s="29"/>
      <c r="T455" s="29"/>
      <c r="U455" s="29"/>
      <c r="V455" s="31"/>
      <c r="W455" s="31"/>
      <c r="X455" s="31"/>
      <c r="Y455" s="31"/>
      <c r="Z455" s="29"/>
      <c r="AA455" s="29"/>
      <c r="AB455" s="29"/>
      <c r="AC455" s="29"/>
    </row>
    <row r="456" spans="12:29" x14ac:dyDescent="0.4">
      <c r="L456" s="29"/>
      <c r="M456" s="161"/>
      <c r="N456" s="161"/>
      <c r="O456" s="55" t="s">
        <v>1824</v>
      </c>
      <c r="P456" s="56">
        <f t="shared" ref="P456:P462" si="60">COUNTIF(N20:N449,O456)</f>
        <v>1</v>
      </c>
      <c r="Q456" s="175"/>
      <c r="R456" s="57"/>
      <c r="S456" s="29"/>
      <c r="T456" s="29"/>
      <c r="U456" s="29"/>
      <c r="V456" s="31"/>
      <c r="W456" s="31"/>
      <c r="X456" s="31"/>
      <c r="Y456" s="31"/>
      <c r="Z456" s="29"/>
      <c r="AA456" s="29"/>
      <c r="AB456" s="29"/>
      <c r="AC456" s="29"/>
    </row>
    <row r="457" spans="12:29" x14ac:dyDescent="0.4">
      <c r="L457" s="29"/>
      <c r="M457" s="161"/>
      <c r="N457" s="161"/>
      <c r="O457" s="55" t="s">
        <v>1823</v>
      </c>
      <c r="P457" s="56">
        <f t="shared" si="60"/>
        <v>1</v>
      </c>
      <c r="Q457" s="175"/>
      <c r="R457" s="57"/>
      <c r="S457" s="29"/>
      <c r="T457" s="29"/>
      <c r="U457" s="29"/>
      <c r="V457" s="31"/>
      <c r="W457" s="31"/>
      <c r="X457" s="31"/>
      <c r="Y457" s="31"/>
      <c r="Z457" s="29"/>
      <c r="AA457" s="29"/>
      <c r="AB457" s="29"/>
      <c r="AC457" s="29"/>
    </row>
    <row r="458" spans="12:29" x14ac:dyDescent="0.4">
      <c r="L458" s="29"/>
      <c r="M458" s="161"/>
      <c r="N458" s="161"/>
      <c r="O458" s="55" t="s">
        <v>1727</v>
      </c>
      <c r="P458" s="56">
        <f t="shared" si="60"/>
        <v>22</v>
      </c>
      <c r="Q458" s="175"/>
      <c r="R458" s="57"/>
      <c r="S458" s="29"/>
      <c r="T458" s="29"/>
      <c r="U458" s="29"/>
      <c r="V458" s="31"/>
      <c r="W458" s="31"/>
      <c r="X458" s="31"/>
      <c r="Y458" s="31"/>
      <c r="Z458" s="29"/>
      <c r="AA458" s="29"/>
      <c r="AB458" s="29"/>
      <c r="AC458" s="29"/>
    </row>
    <row r="459" spans="12:29" x14ac:dyDescent="0.4">
      <c r="L459" s="29"/>
      <c r="M459" s="161"/>
      <c r="N459" s="161"/>
      <c r="O459" s="55" t="s">
        <v>2009</v>
      </c>
      <c r="P459" s="56">
        <f t="shared" si="60"/>
        <v>1</v>
      </c>
      <c r="Q459" s="175"/>
      <c r="R459" s="57"/>
      <c r="S459" s="29"/>
      <c r="T459" s="29"/>
      <c r="U459" s="29"/>
      <c r="V459" s="31"/>
      <c r="W459" s="31"/>
      <c r="X459" s="31"/>
      <c r="Y459" s="31"/>
      <c r="Z459" s="29"/>
      <c r="AA459" s="29"/>
      <c r="AB459" s="29"/>
      <c r="AC459" s="29"/>
    </row>
    <row r="460" spans="12:29" x14ac:dyDescent="0.4">
      <c r="L460" s="29"/>
      <c r="M460" s="161"/>
      <c r="N460" s="161"/>
      <c r="O460" s="55" t="s">
        <v>2010</v>
      </c>
      <c r="P460" s="56">
        <f t="shared" si="60"/>
        <v>2</v>
      </c>
      <c r="Q460" s="175"/>
      <c r="R460" s="57"/>
      <c r="S460" s="29"/>
      <c r="T460" s="29"/>
      <c r="U460" s="29"/>
      <c r="V460" s="31"/>
      <c r="W460" s="31"/>
      <c r="X460" s="31"/>
      <c r="Y460" s="31"/>
      <c r="Z460" s="29"/>
      <c r="AA460" s="29"/>
      <c r="AB460" s="29"/>
      <c r="AC460" s="29"/>
    </row>
    <row r="461" spans="12:29" x14ac:dyDescent="0.4">
      <c r="L461" s="29"/>
      <c r="M461" s="161"/>
      <c r="N461" s="161"/>
      <c r="O461" s="55" t="s">
        <v>2011</v>
      </c>
      <c r="P461" s="56">
        <f t="shared" si="60"/>
        <v>6</v>
      </c>
      <c r="Q461" s="175"/>
      <c r="R461" s="57"/>
      <c r="S461" s="29"/>
      <c r="T461" s="29"/>
      <c r="U461" s="29"/>
      <c r="V461" s="31"/>
      <c r="W461" s="31"/>
      <c r="X461" s="31"/>
      <c r="Y461" s="31"/>
      <c r="Z461" s="29"/>
      <c r="AA461" s="29"/>
      <c r="AB461" s="29"/>
      <c r="AC461" s="29"/>
    </row>
    <row r="462" spans="12:29" x14ac:dyDescent="0.4">
      <c r="L462" s="29"/>
      <c r="M462" s="162"/>
      <c r="N462" s="162"/>
      <c r="O462" s="55" t="s">
        <v>2007</v>
      </c>
      <c r="P462" s="56">
        <f t="shared" si="60"/>
        <v>2</v>
      </c>
      <c r="Q462" s="176"/>
      <c r="R462" s="57"/>
      <c r="S462" s="156" t="s">
        <v>1335</v>
      </c>
      <c r="T462" s="157"/>
      <c r="U462" s="58">
        <f>S451*12</f>
        <v>53.519999999999996</v>
      </c>
      <c r="V462" s="31"/>
      <c r="W462" s="31"/>
      <c r="X462" s="31"/>
      <c r="Y462" s="31"/>
      <c r="Z462" s="29"/>
      <c r="AA462" s="29"/>
      <c r="AB462" s="29"/>
      <c r="AC462" s="29"/>
    </row>
    <row r="463" spans="12:29" x14ac:dyDescent="0.4">
      <c r="L463" s="29"/>
      <c r="M463" s="59" t="s">
        <v>1316</v>
      </c>
      <c r="N463" s="59">
        <f>N449+N450</f>
        <v>437</v>
      </c>
      <c r="O463" s="60"/>
      <c r="P463" s="61">
        <f>SUBTOTAL(9,P449:P462)</f>
        <v>440</v>
      </c>
      <c r="Q463" s="62">
        <f>SUBTOTAL(9,Q449:Q462)</f>
        <v>440</v>
      </c>
      <c r="R463" s="29"/>
      <c r="S463" s="29"/>
      <c r="T463" s="16"/>
      <c r="U463" s="29"/>
      <c r="V463" s="31"/>
      <c r="W463" s="31"/>
      <c r="X463" s="31"/>
      <c r="Y463" s="31"/>
      <c r="Z463" s="29"/>
      <c r="AA463" s="29"/>
      <c r="AB463" s="29"/>
      <c r="AC463" s="29"/>
    </row>
    <row r="464" spans="12:29" x14ac:dyDescent="0.4">
      <c r="L464" s="29"/>
      <c r="M464" s="31"/>
      <c r="N464" s="31"/>
      <c r="O464" s="31"/>
      <c r="P464" s="31"/>
      <c r="Q464" s="29"/>
      <c r="R464" s="29"/>
      <c r="S464" s="29"/>
      <c r="T464" s="29"/>
      <c r="U464" s="29"/>
      <c r="V464" s="31"/>
      <c r="W464" s="31"/>
      <c r="X464" s="31"/>
      <c r="Y464" s="31"/>
      <c r="Z464" s="29"/>
      <c r="AA464" s="29"/>
      <c r="AB464" s="29"/>
      <c r="AC464" s="63"/>
    </row>
    <row r="465" spans="12:29" x14ac:dyDescent="0.4">
      <c r="L465" s="29"/>
      <c r="M465" s="64" t="s">
        <v>1337</v>
      </c>
      <c r="N465" s="31"/>
      <c r="O465" s="31"/>
      <c r="P465" s="31"/>
      <c r="Q465" s="29"/>
      <c r="R465" s="29"/>
      <c r="S465" s="29"/>
      <c r="T465" s="29"/>
      <c r="U465" s="29"/>
      <c r="V465" s="29"/>
      <c r="W465" s="29"/>
      <c r="X465" s="29"/>
      <c r="Y465" s="29"/>
      <c r="Z465" s="31"/>
      <c r="AA465" s="29"/>
      <c r="AB465" s="29"/>
      <c r="AC465" s="29"/>
    </row>
  </sheetData>
  <autoFilter ref="A3:AD447" xr:uid="{00000000-0001-0000-0000-000000000000}"/>
  <mergeCells count="13">
    <mergeCell ref="L449:L450"/>
    <mergeCell ref="S449:T449"/>
    <mergeCell ref="M450:M462"/>
    <mergeCell ref="Q450:Q452"/>
    <mergeCell ref="S450:T450"/>
    <mergeCell ref="S462:T462"/>
    <mergeCell ref="Q453:Q462"/>
    <mergeCell ref="U450:U452"/>
    <mergeCell ref="S451:T451"/>
    <mergeCell ref="S452:T452"/>
    <mergeCell ref="N450:N462"/>
    <mergeCell ref="O450:O451"/>
    <mergeCell ref="P450:P451"/>
  </mergeCells>
  <phoneticPr fontId="2" type="noConversion"/>
  <pageMargins left="0.7" right="0.7" top="0.75" bottom="0.75" header="0.3" footer="0.3"/>
  <pageSetup paperSize="9" scale="22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5D04B-39FB-4105-AD1A-884246EAA1FB}">
  <sheetPr>
    <tabColor rgb="FF66FFFF"/>
  </sheetPr>
  <dimension ref="A1:AG138"/>
  <sheetViews>
    <sheetView view="pageBreakPreview" zoomScale="70" zoomScaleNormal="70" zoomScaleSheetLayoutView="70" workbookViewId="0">
      <pane xSplit="8" ySplit="4" topLeftCell="I11" activePane="bottomRight" state="frozen"/>
      <selection activeCell="R23" sqref="R23"/>
      <selection pane="topRight" activeCell="R23" sqref="R23"/>
      <selection pane="bottomLeft" activeCell="R23" sqref="R23"/>
      <selection pane="bottomRight" activeCell="G26" sqref="G26"/>
    </sheetView>
  </sheetViews>
  <sheetFormatPr defaultColWidth="8.69921875" defaultRowHeight="15.6" x14ac:dyDescent="0.4"/>
  <cols>
    <col min="1" max="2" width="5.69921875" style="24" customWidth="1"/>
    <col min="3" max="3" width="15" style="8" customWidth="1"/>
    <col min="4" max="4" width="17.19921875" style="8" customWidth="1"/>
    <col min="5" max="5" width="8.19921875" style="37" customWidth="1"/>
    <col min="6" max="6" width="10.19921875" style="37" bestFit="1" customWidth="1"/>
    <col min="7" max="7" width="15" style="8" bestFit="1" customWidth="1"/>
    <col min="8" max="8" width="10" style="8" bestFit="1" customWidth="1"/>
    <col min="9" max="9" width="11.796875" style="8" bestFit="1" customWidth="1"/>
    <col min="10" max="10" width="7.3984375" style="8" customWidth="1"/>
    <col min="11" max="11" width="15.8984375" style="8" bestFit="1" customWidth="1"/>
    <col min="12" max="12" width="12.09765625" style="8" customWidth="1"/>
    <col min="13" max="13" width="26.09765625" style="8" customWidth="1"/>
    <col min="14" max="14" width="12" style="8" bestFit="1" customWidth="1"/>
    <col min="15" max="15" width="12.19921875" style="37" bestFit="1" customWidth="1"/>
    <col min="16" max="16" width="9.59765625" style="8" bestFit="1" customWidth="1"/>
    <col min="17" max="17" width="12.19921875" style="8" customWidth="1"/>
    <col min="18" max="18" width="11.19921875" style="8" bestFit="1" customWidth="1"/>
    <col min="19" max="19" width="12.3984375" style="8" bestFit="1" customWidth="1"/>
    <col min="20" max="20" width="12.59765625" style="8" bestFit="1" customWidth="1"/>
    <col min="21" max="21" width="13" style="37" bestFit="1" customWidth="1"/>
    <col min="22" max="22" width="47.69921875" style="38" bestFit="1" customWidth="1"/>
    <col min="23" max="16384" width="8.69921875" style="8"/>
  </cols>
  <sheetData>
    <row r="1" spans="1:28" ht="30" x14ac:dyDescent="0.4">
      <c r="A1" s="7" t="s">
        <v>2008</v>
      </c>
      <c r="B1" s="7"/>
      <c r="D1" s="9"/>
      <c r="E1" s="9"/>
      <c r="F1" s="9"/>
      <c r="G1" s="9"/>
      <c r="H1" s="9"/>
      <c r="I1" s="10"/>
      <c r="J1" s="10"/>
      <c r="K1" s="9"/>
      <c r="L1" s="9"/>
      <c r="M1" s="9"/>
      <c r="N1" s="9"/>
      <c r="O1" s="10"/>
      <c r="P1" s="9"/>
      <c r="Q1" s="9"/>
      <c r="R1" s="9"/>
      <c r="S1" s="9"/>
      <c r="T1" s="9"/>
      <c r="U1" s="11"/>
      <c r="V1" s="12"/>
      <c r="W1" s="9"/>
      <c r="X1" s="9"/>
      <c r="Y1" s="9"/>
      <c r="Z1" s="9"/>
      <c r="AA1" s="9"/>
    </row>
    <row r="2" spans="1:28" ht="15.6" customHeight="1" x14ac:dyDescent="0.4">
      <c r="A2" s="13"/>
      <c r="B2" s="13"/>
      <c r="C2" s="14"/>
      <c r="D2" s="9"/>
      <c r="E2" s="9"/>
      <c r="F2" s="9"/>
      <c r="G2" s="9"/>
      <c r="H2" s="9"/>
      <c r="I2" s="10"/>
      <c r="J2" s="10"/>
      <c r="K2" s="9"/>
      <c r="L2" s="9"/>
      <c r="M2" s="9"/>
      <c r="N2" s="9"/>
      <c r="O2" s="10"/>
      <c r="P2" s="9"/>
      <c r="Q2" s="9"/>
      <c r="R2" s="9"/>
      <c r="S2" s="9"/>
      <c r="T2" s="9"/>
      <c r="U2" s="11"/>
      <c r="V2" s="12"/>
      <c r="W2" s="9"/>
      <c r="X2" s="9"/>
      <c r="Y2" s="9"/>
      <c r="Z2" s="9"/>
      <c r="AA2" s="9"/>
    </row>
    <row r="3" spans="1:28" ht="21" x14ac:dyDescent="0.4">
      <c r="A3" s="103" t="s">
        <v>1305</v>
      </c>
      <c r="B3" s="103"/>
      <c r="C3" s="104"/>
      <c r="D3" s="104"/>
      <c r="E3" s="11"/>
      <c r="F3" s="11"/>
      <c r="G3" s="11"/>
      <c r="H3" s="11"/>
      <c r="I3" s="11"/>
      <c r="J3" s="11"/>
      <c r="K3" s="11"/>
      <c r="L3" s="11"/>
      <c r="M3" s="15"/>
      <c r="N3" s="11"/>
      <c r="O3" s="10"/>
      <c r="P3" s="10"/>
      <c r="Q3" s="11"/>
      <c r="R3" s="11"/>
      <c r="S3" s="11"/>
      <c r="T3" s="16"/>
      <c r="U3" s="16"/>
      <c r="V3" s="18"/>
      <c r="W3" s="11"/>
      <c r="X3" s="9"/>
      <c r="Y3" s="9"/>
      <c r="Z3" s="9"/>
      <c r="AA3" s="9"/>
      <c r="AB3" s="9"/>
    </row>
    <row r="4" spans="1:28" s="20" customFormat="1" ht="36" customHeight="1" x14ac:dyDescent="0.4">
      <c r="A4" s="10"/>
      <c r="B4" s="10" t="s">
        <v>1320</v>
      </c>
      <c r="C4" s="39" t="s">
        <v>0</v>
      </c>
      <c r="D4" s="39" t="s">
        <v>1</v>
      </c>
      <c r="E4" s="39" t="s">
        <v>2</v>
      </c>
      <c r="F4" s="39" t="s">
        <v>3</v>
      </c>
      <c r="G4" s="39" t="s">
        <v>4</v>
      </c>
      <c r="H4" s="39" t="s">
        <v>5</v>
      </c>
      <c r="I4" s="39" t="s">
        <v>6</v>
      </c>
      <c r="J4" s="44" t="s">
        <v>1307</v>
      </c>
      <c r="K4" s="39" t="s">
        <v>7</v>
      </c>
      <c r="L4" s="39" t="s">
        <v>8</v>
      </c>
      <c r="M4" s="39" t="s">
        <v>9</v>
      </c>
      <c r="N4" s="39" t="s">
        <v>10</v>
      </c>
      <c r="O4" s="39" t="s">
        <v>11</v>
      </c>
      <c r="P4" s="39" t="s">
        <v>12</v>
      </c>
      <c r="Q4" s="44" t="s">
        <v>1309</v>
      </c>
      <c r="R4" s="44" t="s">
        <v>1326</v>
      </c>
      <c r="S4" s="39" t="s">
        <v>15</v>
      </c>
      <c r="T4" s="39" t="s">
        <v>1311</v>
      </c>
      <c r="U4" s="39" t="s">
        <v>1312</v>
      </c>
      <c r="V4" s="39" t="s">
        <v>1313</v>
      </c>
      <c r="W4" s="19"/>
    </row>
    <row r="5" spans="1:28" s="20" customFormat="1" ht="17.399999999999999" x14ac:dyDescent="0.4">
      <c r="A5" s="105" t="s">
        <v>1324</v>
      </c>
      <c r="B5" s="105" t="str">
        <f>MID(C5,3,1)</f>
        <v>B</v>
      </c>
      <c r="C5" s="1" t="s">
        <v>58</v>
      </c>
      <c r="D5" s="1" t="s">
        <v>28</v>
      </c>
      <c r="E5" s="1" t="s">
        <v>736</v>
      </c>
      <c r="F5" s="1" t="s">
        <v>31</v>
      </c>
      <c r="G5" s="1" t="s">
        <v>1707</v>
      </c>
      <c r="H5" s="1" t="s">
        <v>61</v>
      </c>
      <c r="I5" s="1" t="s">
        <v>118</v>
      </c>
      <c r="J5" s="1" t="s">
        <v>62</v>
      </c>
      <c r="K5" s="1" t="s">
        <v>24</v>
      </c>
      <c r="L5" s="1" t="s">
        <v>63</v>
      </c>
      <c r="M5" s="1" t="s">
        <v>64</v>
      </c>
      <c r="N5" s="75">
        <v>40909</v>
      </c>
      <c r="O5" s="1" t="s">
        <v>36</v>
      </c>
      <c r="P5" s="1" t="s">
        <v>28</v>
      </c>
      <c r="Q5" s="75">
        <v>43831</v>
      </c>
      <c r="R5" s="75">
        <v>45383</v>
      </c>
      <c r="S5" s="88">
        <v>0</v>
      </c>
      <c r="T5" s="88">
        <v>18000000</v>
      </c>
      <c r="U5" s="89">
        <v>-10650084</v>
      </c>
      <c r="V5" s="78"/>
    </row>
    <row r="6" spans="1:28" s="20" customFormat="1" ht="17.399999999999999" x14ac:dyDescent="0.4">
      <c r="A6" s="105" t="s">
        <v>1324</v>
      </c>
      <c r="B6" s="105" t="str">
        <f t="shared" ref="B6:B17" si="0">MID(C6,3,1)</f>
        <v>B</v>
      </c>
      <c r="C6" s="1" t="s">
        <v>109</v>
      </c>
      <c r="D6" s="1" t="s">
        <v>28</v>
      </c>
      <c r="E6" s="1" t="s">
        <v>736</v>
      </c>
      <c r="F6" s="1" t="s">
        <v>31</v>
      </c>
      <c r="G6" s="1" t="s">
        <v>1707</v>
      </c>
      <c r="H6" s="1" t="s">
        <v>110</v>
      </c>
      <c r="I6" s="1" t="s">
        <v>118</v>
      </c>
      <c r="J6" s="1" t="s">
        <v>62</v>
      </c>
      <c r="K6" s="1" t="s">
        <v>24</v>
      </c>
      <c r="L6" s="1" t="s">
        <v>63</v>
      </c>
      <c r="M6" s="1" t="s">
        <v>111</v>
      </c>
      <c r="N6" s="75">
        <v>40909</v>
      </c>
      <c r="O6" s="1" t="s">
        <v>36</v>
      </c>
      <c r="P6" s="1" t="s">
        <v>28</v>
      </c>
      <c r="Q6" s="75">
        <v>44013</v>
      </c>
      <c r="R6" s="75">
        <v>45413</v>
      </c>
      <c r="S6" s="88">
        <v>0</v>
      </c>
      <c r="T6" s="1">
        <v>8500000</v>
      </c>
      <c r="U6" s="89"/>
      <c r="V6" s="78"/>
    </row>
    <row r="7" spans="1:28" s="100" customFormat="1" ht="17.399999999999999" x14ac:dyDescent="0.4">
      <c r="A7" s="101" t="s">
        <v>1324</v>
      </c>
      <c r="B7" s="101" t="str">
        <f t="shared" si="0"/>
        <v>B</v>
      </c>
      <c r="C7" s="95" t="s">
        <v>239</v>
      </c>
      <c r="D7" s="95" t="s">
        <v>28</v>
      </c>
      <c r="E7" s="95" t="s">
        <v>736</v>
      </c>
      <c r="F7" s="95" t="s">
        <v>31</v>
      </c>
      <c r="G7" s="95" t="s">
        <v>1707</v>
      </c>
      <c r="H7" s="95" t="s">
        <v>1366</v>
      </c>
      <c r="I7" s="95" t="s">
        <v>118</v>
      </c>
      <c r="J7" s="95" t="s">
        <v>129</v>
      </c>
      <c r="K7" s="95" t="s">
        <v>124</v>
      </c>
      <c r="L7" s="95" t="s">
        <v>1730</v>
      </c>
      <c r="M7" s="95" t="s">
        <v>1729</v>
      </c>
      <c r="N7" s="96">
        <v>37622</v>
      </c>
      <c r="O7" s="95" t="s">
        <v>36</v>
      </c>
      <c r="P7" s="95" t="s">
        <v>28</v>
      </c>
      <c r="Q7" s="96">
        <v>43617</v>
      </c>
      <c r="R7" s="96">
        <v>45778</v>
      </c>
      <c r="S7" s="97">
        <v>0</v>
      </c>
      <c r="T7" s="97">
        <v>10830000</v>
      </c>
      <c r="U7" s="98">
        <v>-12978040</v>
      </c>
      <c r="V7" s="99" t="s">
        <v>1752</v>
      </c>
    </row>
    <row r="8" spans="1:28" s="20" customFormat="1" ht="17.399999999999999" x14ac:dyDescent="0.4">
      <c r="A8" s="106" t="s">
        <v>1325</v>
      </c>
      <c r="B8" s="105" t="str">
        <f t="shared" si="0"/>
        <v>O</v>
      </c>
      <c r="C8" s="1" t="s">
        <v>331</v>
      </c>
      <c r="D8" s="1" t="s">
        <v>28</v>
      </c>
      <c r="E8" s="1" t="s">
        <v>736</v>
      </c>
      <c r="F8" s="1" t="s">
        <v>31</v>
      </c>
      <c r="G8" s="1" t="s">
        <v>1707</v>
      </c>
      <c r="H8" s="1" t="s">
        <v>332</v>
      </c>
      <c r="I8" s="1" t="s">
        <v>118</v>
      </c>
      <c r="J8" s="1" t="s">
        <v>333</v>
      </c>
      <c r="K8" s="1" t="s">
        <v>24</v>
      </c>
      <c r="L8" s="1" t="s">
        <v>334</v>
      </c>
      <c r="M8" s="1" t="s">
        <v>335</v>
      </c>
      <c r="N8" s="75">
        <v>39448</v>
      </c>
      <c r="O8" s="1" t="s">
        <v>36</v>
      </c>
      <c r="P8" s="1" t="s">
        <v>28</v>
      </c>
      <c r="Q8" s="75">
        <v>43344</v>
      </c>
      <c r="R8" s="75">
        <v>45444</v>
      </c>
      <c r="S8" s="88">
        <v>0</v>
      </c>
      <c r="T8" s="88">
        <v>9830710</v>
      </c>
      <c r="U8" s="89">
        <v>-37748788</v>
      </c>
      <c r="V8" s="147" t="s">
        <v>1867</v>
      </c>
    </row>
    <row r="9" spans="1:28" s="20" customFormat="1" ht="17.399999999999999" x14ac:dyDescent="0.4">
      <c r="A9" s="106" t="s">
        <v>1325</v>
      </c>
      <c r="B9" s="105" t="str">
        <f t="shared" si="0"/>
        <v>O</v>
      </c>
      <c r="C9" s="1" t="s">
        <v>349</v>
      </c>
      <c r="D9" s="1" t="s">
        <v>28</v>
      </c>
      <c r="E9" s="1" t="s">
        <v>736</v>
      </c>
      <c r="F9" s="1" t="s">
        <v>31</v>
      </c>
      <c r="G9" s="1" t="s">
        <v>1707</v>
      </c>
      <c r="H9" s="1" t="s">
        <v>1708</v>
      </c>
      <c r="I9" s="1" t="s">
        <v>118</v>
      </c>
      <c r="J9" s="1" t="s">
        <v>333</v>
      </c>
      <c r="K9" s="1" t="s">
        <v>24</v>
      </c>
      <c r="L9" s="1" t="s">
        <v>350</v>
      </c>
      <c r="M9" s="1" t="s">
        <v>351</v>
      </c>
      <c r="N9" s="75">
        <v>40544</v>
      </c>
      <c r="O9" s="1" t="s">
        <v>27</v>
      </c>
      <c r="P9" s="1" t="s">
        <v>28</v>
      </c>
      <c r="Q9" s="75">
        <v>43344</v>
      </c>
      <c r="R9" s="75">
        <v>45839</v>
      </c>
      <c r="S9" s="88">
        <v>0</v>
      </c>
      <c r="T9" s="88">
        <v>11000000</v>
      </c>
      <c r="U9" s="89">
        <v>-49492863</v>
      </c>
      <c r="V9" s="147" t="s">
        <v>1867</v>
      </c>
    </row>
    <row r="10" spans="1:28" s="20" customFormat="1" ht="17.399999999999999" x14ac:dyDescent="0.4">
      <c r="A10" s="106" t="s">
        <v>1325</v>
      </c>
      <c r="B10" s="105" t="str">
        <f t="shared" si="0"/>
        <v>O</v>
      </c>
      <c r="C10" s="1" t="s">
        <v>562</v>
      </c>
      <c r="D10" s="1" t="s">
        <v>28</v>
      </c>
      <c r="E10" s="1" t="s">
        <v>736</v>
      </c>
      <c r="F10" s="1" t="s">
        <v>31</v>
      </c>
      <c r="G10" s="1" t="s">
        <v>1707</v>
      </c>
      <c r="H10" s="1" t="s">
        <v>1709</v>
      </c>
      <c r="I10" s="1" t="s">
        <v>118</v>
      </c>
      <c r="J10" s="1" t="s">
        <v>114</v>
      </c>
      <c r="K10" s="1" t="s">
        <v>41</v>
      </c>
      <c r="L10" s="1" t="s">
        <v>564</v>
      </c>
      <c r="M10" s="1" t="s">
        <v>565</v>
      </c>
      <c r="N10" s="75">
        <v>40817</v>
      </c>
      <c r="O10" s="1" t="s">
        <v>27</v>
      </c>
      <c r="P10" s="1" t="s">
        <v>45</v>
      </c>
      <c r="Q10" s="75">
        <v>40857</v>
      </c>
      <c r="R10" s="75">
        <v>45870</v>
      </c>
      <c r="S10" s="88">
        <v>0</v>
      </c>
      <c r="T10" s="88">
        <v>38850000</v>
      </c>
      <c r="U10" s="89">
        <v>-48763261</v>
      </c>
      <c r="V10" s="147" t="s">
        <v>1868</v>
      </c>
    </row>
    <row r="11" spans="1:28" s="20" customFormat="1" ht="17.399999999999999" x14ac:dyDescent="0.4">
      <c r="A11" s="105" t="s">
        <v>1324</v>
      </c>
      <c r="B11" s="105" t="str">
        <f t="shared" si="0"/>
        <v>B</v>
      </c>
      <c r="C11" s="1" t="s">
        <v>611</v>
      </c>
      <c r="D11" s="1" t="s">
        <v>28</v>
      </c>
      <c r="E11" s="1" t="s">
        <v>736</v>
      </c>
      <c r="F11" s="1" t="s">
        <v>31</v>
      </c>
      <c r="G11" s="1" t="s">
        <v>1707</v>
      </c>
      <c r="H11" s="1" t="s">
        <v>612</v>
      </c>
      <c r="I11" s="1" t="s">
        <v>1876</v>
      </c>
      <c r="J11" s="1" t="s">
        <v>55</v>
      </c>
      <c r="K11" s="1" t="s">
        <v>613</v>
      </c>
      <c r="L11" s="1" t="s">
        <v>614</v>
      </c>
      <c r="M11" s="1" t="s">
        <v>615</v>
      </c>
      <c r="N11" s="75">
        <v>42856</v>
      </c>
      <c r="O11" s="1" t="s">
        <v>36</v>
      </c>
      <c r="P11" s="1" t="s">
        <v>45</v>
      </c>
      <c r="Q11" s="75">
        <v>42856</v>
      </c>
      <c r="R11" s="75">
        <v>45597</v>
      </c>
      <c r="S11" s="88">
        <v>0</v>
      </c>
      <c r="T11" s="88">
        <v>8000000</v>
      </c>
      <c r="U11" s="89">
        <v>-18111500</v>
      </c>
      <c r="V11" s="78"/>
    </row>
    <row r="12" spans="1:28" s="20" customFormat="1" ht="17.399999999999999" x14ac:dyDescent="0.4">
      <c r="A12" s="105" t="s">
        <v>1324</v>
      </c>
      <c r="B12" s="105" t="str">
        <f>MID(C12,3,1)</f>
        <v>B</v>
      </c>
      <c r="C12" s="1" t="s">
        <v>534</v>
      </c>
      <c r="D12" s="1" t="s">
        <v>28</v>
      </c>
      <c r="E12" s="1" t="s">
        <v>736</v>
      </c>
      <c r="F12" s="1" t="s">
        <v>31</v>
      </c>
      <c r="G12" s="1" t="s">
        <v>1707</v>
      </c>
      <c r="H12" s="1" t="s">
        <v>535</v>
      </c>
      <c r="I12" s="1" t="s">
        <v>1972</v>
      </c>
      <c r="J12" s="1" t="s">
        <v>129</v>
      </c>
      <c r="K12" s="1" t="s">
        <v>536</v>
      </c>
      <c r="L12" s="1" t="s">
        <v>537</v>
      </c>
      <c r="M12" s="1" t="s">
        <v>538</v>
      </c>
      <c r="N12" s="75">
        <v>43221</v>
      </c>
      <c r="O12" s="1" t="s">
        <v>36</v>
      </c>
      <c r="P12" s="1" t="s">
        <v>28</v>
      </c>
      <c r="Q12" s="75">
        <v>43221</v>
      </c>
      <c r="R12" s="75">
        <v>45444</v>
      </c>
      <c r="S12" s="88">
        <v>0</v>
      </c>
      <c r="T12" s="88">
        <v>13000000</v>
      </c>
      <c r="U12" s="89">
        <v>-22321480</v>
      </c>
      <c r="V12" s="72"/>
    </row>
    <row r="13" spans="1:28" s="20" customFormat="1" ht="17.399999999999999" x14ac:dyDescent="0.4">
      <c r="A13" s="106" t="s">
        <v>1325</v>
      </c>
      <c r="B13" s="105" t="str">
        <f t="shared" si="0"/>
        <v>O</v>
      </c>
      <c r="C13" s="1" t="s">
        <v>672</v>
      </c>
      <c r="D13" s="1" t="s">
        <v>28</v>
      </c>
      <c r="E13" s="1" t="s">
        <v>736</v>
      </c>
      <c r="F13" s="1" t="s">
        <v>31</v>
      </c>
      <c r="G13" s="1" t="s">
        <v>1707</v>
      </c>
      <c r="H13" s="1" t="s">
        <v>1710</v>
      </c>
      <c r="I13" s="1" t="s">
        <v>118</v>
      </c>
      <c r="J13" s="1" t="s">
        <v>23</v>
      </c>
      <c r="K13" s="1" t="s">
        <v>41</v>
      </c>
      <c r="L13" s="1" t="s">
        <v>86</v>
      </c>
      <c r="M13" s="1" t="s">
        <v>673</v>
      </c>
      <c r="N13" s="75">
        <v>40941</v>
      </c>
      <c r="O13" s="1" t="s">
        <v>36</v>
      </c>
      <c r="P13" s="1" t="s">
        <v>28</v>
      </c>
      <c r="Q13" s="75">
        <v>44875</v>
      </c>
      <c r="R13" s="75">
        <v>45870</v>
      </c>
      <c r="S13" s="88">
        <v>0</v>
      </c>
      <c r="T13" s="88">
        <v>2000000</v>
      </c>
      <c r="U13" s="89">
        <v>-21247670</v>
      </c>
      <c r="V13" s="78"/>
    </row>
    <row r="14" spans="1:28" s="20" customFormat="1" ht="17.399999999999999" x14ac:dyDescent="0.4">
      <c r="A14" s="106" t="s">
        <v>1325</v>
      </c>
      <c r="B14" s="105" t="str">
        <f t="shared" si="0"/>
        <v>O</v>
      </c>
      <c r="C14" s="1" t="s">
        <v>810</v>
      </c>
      <c r="D14" s="1" t="s">
        <v>28</v>
      </c>
      <c r="E14" s="1" t="s">
        <v>736</v>
      </c>
      <c r="F14" s="1" t="s">
        <v>31</v>
      </c>
      <c r="G14" s="1" t="s">
        <v>1707</v>
      </c>
      <c r="H14" s="1" t="s">
        <v>1714</v>
      </c>
      <c r="I14" s="1" t="s">
        <v>118</v>
      </c>
      <c r="J14" s="1" t="s">
        <v>23</v>
      </c>
      <c r="K14" s="1" t="s">
        <v>41</v>
      </c>
      <c r="L14" s="1" t="s">
        <v>811</v>
      </c>
      <c r="M14" s="1" t="s">
        <v>812</v>
      </c>
      <c r="N14" s="75">
        <v>44986</v>
      </c>
      <c r="O14" s="1" t="s">
        <v>27</v>
      </c>
      <c r="P14" s="1" t="s">
        <v>45</v>
      </c>
      <c r="Q14" s="75">
        <v>44998</v>
      </c>
      <c r="R14" s="75">
        <v>45870</v>
      </c>
      <c r="S14" s="88">
        <v>0</v>
      </c>
      <c r="T14" s="88">
        <v>38520000</v>
      </c>
      <c r="U14" s="89">
        <v>18819687</v>
      </c>
      <c r="V14" s="78"/>
    </row>
    <row r="15" spans="1:28" s="20" customFormat="1" ht="17.399999999999999" customHeight="1" x14ac:dyDescent="0.4">
      <c r="A15" s="105" t="s">
        <v>1324</v>
      </c>
      <c r="B15" s="105" t="str">
        <f t="shared" si="0"/>
        <v>B</v>
      </c>
      <c r="C15" s="1" t="s">
        <v>1945</v>
      </c>
      <c r="D15" s="1" t="s">
        <v>28</v>
      </c>
      <c r="E15" s="1" t="s">
        <v>736</v>
      </c>
      <c r="F15" s="1" t="s">
        <v>31</v>
      </c>
      <c r="G15" s="1" t="s">
        <v>1707</v>
      </c>
      <c r="H15" s="1" t="s">
        <v>1421</v>
      </c>
      <c r="I15" s="1" t="s">
        <v>1936</v>
      </c>
      <c r="J15" s="1" t="s">
        <v>55</v>
      </c>
      <c r="K15" s="1" t="s">
        <v>613</v>
      </c>
      <c r="L15" s="1" t="s">
        <v>976</v>
      </c>
      <c r="M15" s="1" t="s">
        <v>978</v>
      </c>
      <c r="N15" s="75">
        <v>45170</v>
      </c>
      <c r="O15" s="1" t="s">
        <v>36</v>
      </c>
      <c r="P15" s="1" t="s">
        <v>28</v>
      </c>
      <c r="Q15" s="75">
        <v>45200</v>
      </c>
      <c r="R15" s="75">
        <v>45839</v>
      </c>
      <c r="S15" s="88">
        <v>0</v>
      </c>
      <c r="T15" s="88">
        <v>8400000</v>
      </c>
      <c r="U15" s="89">
        <v>2700000</v>
      </c>
      <c r="V15" s="78"/>
    </row>
    <row r="16" spans="1:28" s="20" customFormat="1" ht="17.399999999999999" x14ac:dyDescent="0.4">
      <c r="A16" s="105" t="s">
        <v>1324</v>
      </c>
      <c r="B16" s="105" t="str">
        <f t="shared" si="0"/>
        <v>B</v>
      </c>
      <c r="C16" s="1" t="s">
        <v>1181</v>
      </c>
      <c r="D16" s="1" t="s">
        <v>28</v>
      </c>
      <c r="E16" s="1" t="s">
        <v>736</v>
      </c>
      <c r="F16" s="1" t="s">
        <v>31</v>
      </c>
      <c r="G16" s="1" t="s">
        <v>1707</v>
      </c>
      <c r="H16" s="1" t="s">
        <v>1696</v>
      </c>
      <c r="I16" s="1" t="s">
        <v>118</v>
      </c>
      <c r="J16" s="1" t="s">
        <v>23</v>
      </c>
      <c r="K16" s="1" t="s">
        <v>24</v>
      </c>
      <c r="L16" s="1" t="s">
        <v>963</v>
      </c>
      <c r="M16" s="1" t="s">
        <v>1183</v>
      </c>
      <c r="N16" s="75">
        <v>43770</v>
      </c>
      <c r="O16" s="1" t="s">
        <v>36</v>
      </c>
      <c r="P16" s="1" t="s">
        <v>28</v>
      </c>
      <c r="Q16" s="75">
        <v>45510</v>
      </c>
      <c r="R16" s="75">
        <v>45849</v>
      </c>
      <c r="S16" s="88">
        <v>0</v>
      </c>
      <c r="T16" s="88">
        <v>16000000</v>
      </c>
      <c r="U16" s="89">
        <v>13001130</v>
      </c>
      <c r="V16" s="78"/>
    </row>
    <row r="17" spans="1:29" s="20" customFormat="1" ht="17.399999999999999" x14ac:dyDescent="0.4">
      <c r="A17" s="107" t="s">
        <v>1325</v>
      </c>
      <c r="B17" s="105" t="str">
        <f t="shared" si="0"/>
        <v>O</v>
      </c>
      <c r="C17" s="1" t="s">
        <v>684</v>
      </c>
      <c r="D17" s="1" t="s">
        <v>28</v>
      </c>
      <c r="E17" s="1" t="s">
        <v>736</v>
      </c>
      <c r="F17" s="1" t="s">
        <v>31</v>
      </c>
      <c r="G17" s="1" t="s">
        <v>1707</v>
      </c>
      <c r="H17" s="1" t="s">
        <v>685</v>
      </c>
      <c r="I17" s="1" t="s">
        <v>118</v>
      </c>
      <c r="J17" s="1" t="s">
        <v>339</v>
      </c>
      <c r="K17" s="1" t="s">
        <v>24</v>
      </c>
      <c r="L17" s="1" t="s">
        <v>340</v>
      </c>
      <c r="M17" s="1" t="s">
        <v>686</v>
      </c>
      <c r="N17" s="75">
        <v>40544</v>
      </c>
      <c r="O17" s="1" t="s">
        <v>36</v>
      </c>
      <c r="P17" s="1" t="s">
        <v>28</v>
      </c>
      <c r="Q17" s="75">
        <v>44927</v>
      </c>
      <c r="R17" s="75">
        <v>45383</v>
      </c>
      <c r="S17" s="88">
        <v>0</v>
      </c>
      <c r="T17" s="88">
        <v>5000000</v>
      </c>
      <c r="U17" s="89">
        <v>-3717353</v>
      </c>
      <c r="V17" s="147" t="s">
        <v>1869</v>
      </c>
    </row>
    <row r="18" spans="1:29" s="20" customFormat="1" ht="17.399999999999999" x14ac:dyDescent="0.4">
      <c r="A18" s="105" t="s">
        <v>1324</v>
      </c>
      <c r="B18" s="105" t="str">
        <f t="shared" ref="B18" si="1">MID(C18,3,1)</f>
        <v>B</v>
      </c>
      <c r="C18" s="1" t="s">
        <v>1825</v>
      </c>
      <c r="D18" s="1" t="s">
        <v>28</v>
      </c>
      <c r="E18" s="1" t="s">
        <v>736</v>
      </c>
      <c r="F18" s="1" t="s">
        <v>31</v>
      </c>
      <c r="G18" s="1" t="s">
        <v>1707</v>
      </c>
      <c r="H18" s="1" t="s">
        <v>1737</v>
      </c>
      <c r="I18" s="1" t="s">
        <v>1758</v>
      </c>
      <c r="J18" s="1" t="s">
        <v>1762</v>
      </c>
      <c r="K18" s="1" t="s">
        <v>24</v>
      </c>
      <c r="L18" s="1" t="s">
        <v>390</v>
      </c>
      <c r="M18" s="1" t="s">
        <v>440</v>
      </c>
      <c r="N18" s="75">
        <v>44075</v>
      </c>
      <c r="O18" s="1" t="s">
        <v>36</v>
      </c>
      <c r="P18" s="1" t="s">
        <v>28</v>
      </c>
      <c r="Q18" s="75">
        <v>44652</v>
      </c>
      <c r="R18" s="75">
        <v>45901</v>
      </c>
      <c r="S18" s="88">
        <v>0</v>
      </c>
      <c r="T18" s="88">
        <v>16000000</v>
      </c>
      <c r="U18" s="89">
        <v>-6659896</v>
      </c>
      <c r="V18" s="78"/>
    </row>
    <row r="19" spans="1:29" s="20" customFormat="1" ht="17.399999999999999" x14ac:dyDescent="0.4">
      <c r="A19" s="105" t="s">
        <v>1324</v>
      </c>
      <c r="B19" s="105" t="str">
        <f t="shared" ref="B19:B24" si="2">MID(C19,3,1)</f>
        <v>B</v>
      </c>
      <c r="C19" s="1" t="s">
        <v>1974</v>
      </c>
      <c r="D19" s="1" t="s">
        <v>28</v>
      </c>
      <c r="E19" s="1" t="s">
        <v>736</v>
      </c>
      <c r="F19" s="1" t="s">
        <v>31</v>
      </c>
      <c r="G19" s="1" t="s">
        <v>1707</v>
      </c>
      <c r="H19" s="1" t="s">
        <v>1358</v>
      </c>
      <c r="I19" s="1" t="s">
        <v>1972</v>
      </c>
      <c r="J19" s="1" t="s">
        <v>129</v>
      </c>
      <c r="K19" s="1" t="s">
        <v>948</v>
      </c>
      <c r="L19" s="1" t="s">
        <v>527</v>
      </c>
      <c r="M19" s="1" t="s">
        <v>1196</v>
      </c>
      <c r="N19" s="75">
        <v>45516</v>
      </c>
      <c r="O19" s="1" t="s">
        <v>36</v>
      </c>
      <c r="P19" s="1" t="s">
        <v>28</v>
      </c>
      <c r="Q19" s="75">
        <v>45520</v>
      </c>
      <c r="R19" s="75">
        <v>45729</v>
      </c>
      <c r="S19" s="88">
        <v>0</v>
      </c>
      <c r="T19" s="88">
        <v>15000000</v>
      </c>
      <c r="U19" s="89">
        <v>12517742</v>
      </c>
      <c r="V19" s="72"/>
    </row>
    <row r="20" spans="1:29" s="20" customFormat="1" ht="17.399999999999999" x14ac:dyDescent="0.4">
      <c r="A20" s="107" t="s">
        <v>1325</v>
      </c>
      <c r="B20" s="105" t="str">
        <f t="shared" si="2"/>
        <v>O</v>
      </c>
      <c r="C20" s="90" t="s">
        <v>696</v>
      </c>
      <c r="D20" s="90" t="s">
        <v>28</v>
      </c>
      <c r="E20" s="90" t="s">
        <v>736</v>
      </c>
      <c r="F20" s="90" t="s">
        <v>31</v>
      </c>
      <c r="G20" s="90" t="s">
        <v>675</v>
      </c>
      <c r="H20" s="90" t="s">
        <v>1711</v>
      </c>
      <c r="I20" s="90" t="s">
        <v>118</v>
      </c>
      <c r="J20" s="90" t="s">
        <v>339</v>
      </c>
      <c r="K20" s="90" t="s">
        <v>24</v>
      </c>
      <c r="L20" s="90" t="s">
        <v>340</v>
      </c>
      <c r="M20" s="90" t="s">
        <v>697</v>
      </c>
      <c r="N20" s="91">
        <v>41426</v>
      </c>
      <c r="O20" s="90" t="s">
        <v>27</v>
      </c>
      <c r="P20" s="90" t="s">
        <v>28</v>
      </c>
      <c r="Q20" s="91">
        <v>44927</v>
      </c>
      <c r="R20" s="91">
        <v>45839</v>
      </c>
      <c r="S20" s="92">
        <v>0</v>
      </c>
      <c r="T20" s="92">
        <v>5000000</v>
      </c>
      <c r="U20" s="93">
        <v>8745460</v>
      </c>
      <c r="V20" s="94" t="s">
        <v>1725</v>
      </c>
    </row>
    <row r="21" spans="1:29" s="20" customFormat="1" ht="17.399999999999999" x14ac:dyDescent="0.4">
      <c r="A21" s="107" t="s">
        <v>1325</v>
      </c>
      <c r="B21" s="105" t="str">
        <f t="shared" si="2"/>
        <v>O</v>
      </c>
      <c r="C21" s="90" t="s">
        <v>699</v>
      </c>
      <c r="D21" s="90" t="s">
        <v>28</v>
      </c>
      <c r="E21" s="90" t="s">
        <v>736</v>
      </c>
      <c r="F21" s="90" t="s">
        <v>31</v>
      </c>
      <c r="G21" s="90" t="s">
        <v>675</v>
      </c>
      <c r="H21" s="90" t="s">
        <v>1712</v>
      </c>
      <c r="I21" s="90" t="s">
        <v>118</v>
      </c>
      <c r="J21" s="90" t="s">
        <v>339</v>
      </c>
      <c r="K21" s="90" t="s">
        <v>24</v>
      </c>
      <c r="L21" s="90" t="s">
        <v>340</v>
      </c>
      <c r="M21" s="90" t="s">
        <v>700</v>
      </c>
      <c r="N21" s="91">
        <v>41548</v>
      </c>
      <c r="O21" s="90" t="s">
        <v>36</v>
      </c>
      <c r="P21" s="90" t="s">
        <v>28</v>
      </c>
      <c r="Q21" s="91">
        <v>44927</v>
      </c>
      <c r="R21" s="91">
        <v>45839</v>
      </c>
      <c r="S21" s="92">
        <v>0</v>
      </c>
      <c r="T21" s="92">
        <v>5000000</v>
      </c>
      <c r="U21" s="93">
        <v>6862910</v>
      </c>
      <c r="V21" s="94" t="s">
        <v>1724</v>
      </c>
    </row>
    <row r="22" spans="1:29" s="20" customFormat="1" ht="17.399999999999999" x14ac:dyDescent="0.4">
      <c r="A22" s="107" t="s">
        <v>1726</v>
      </c>
      <c r="B22" s="105" t="str">
        <f t="shared" si="2"/>
        <v>B</v>
      </c>
      <c r="C22" s="90" t="s">
        <v>1975</v>
      </c>
      <c r="D22" s="90" t="s">
        <v>28</v>
      </c>
      <c r="E22" s="90" t="s">
        <v>736</v>
      </c>
      <c r="F22" s="90" t="s">
        <v>31</v>
      </c>
      <c r="G22" s="90" t="s">
        <v>675</v>
      </c>
      <c r="H22" s="90" t="s">
        <v>1713</v>
      </c>
      <c r="I22" s="90" t="s">
        <v>1727</v>
      </c>
      <c r="J22" s="90" t="s">
        <v>129</v>
      </c>
      <c r="K22" s="90" t="s">
        <v>787</v>
      </c>
      <c r="L22" s="90" t="s">
        <v>788</v>
      </c>
      <c r="M22" s="90" t="s">
        <v>789</v>
      </c>
      <c r="N22" s="91">
        <v>38443</v>
      </c>
      <c r="O22" s="90" t="s">
        <v>36</v>
      </c>
      <c r="P22" s="90" t="s">
        <v>28</v>
      </c>
      <c r="Q22" s="91">
        <v>44927</v>
      </c>
      <c r="R22" s="91">
        <v>45839</v>
      </c>
      <c r="S22" s="92">
        <v>0</v>
      </c>
      <c r="T22" s="92">
        <v>3000000</v>
      </c>
      <c r="U22" s="93">
        <v>3075000</v>
      </c>
      <c r="V22" s="94" t="s">
        <v>1724</v>
      </c>
    </row>
    <row r="23" spans="1:29" s="20" customFormat="1" ht="17.399999999999999" x14ac:dyDescent="0.4">
      <c r="A23" s="107" t="s">
        <v>1727</v>
      </c>
      <c r="B23" s="105" t="str">
        <f t="shared" si="2"/>
        <v>B</v>
      </c>
      <c r="C23" s="90" t="s">
        <v>1976</v>
      </c>
      <c r="D23" s="90" t="s">
        <v>28</v>
      </c>
      <c r="E23" s="90" t="s">
        <v>736</v>
      </c>
      <c r="F23" s="90" t="s">
        <v>31</v>
      </c>
      <c r="G23" s="90" t="s">
        <v>675</v>
      </c>
      <c r="H23" s="90" t="s">
        <v>1717</v>
      </c>
      <c r="I23" s="90" t="s">
        <v>1727</v>
      </c>
      <c r="J23" s="90" t="s">
        <v>282</v>
      </c>
      <c r="K23" s="90" t="s">
        <v>24</v>
      </c>
      <c r="L23" s="90" t="s">
        <v>1630</v>
      </c>
      <c r="M23" s="90" t="s">
        <v>1635</v>
      </c>
      <c r="N23" s="91">
        <v>40948</v>
      </c>
      <c r="O23" s="90" t="s">
        <v>36</v>
      </c>
      <c r="P23" s="90" t="s">
        <v>28</v>
      </c>
      <c r="Q23" s="91">
        <v>45839</v>
      </c>
      <c r="R23" s="91">
        <v>45839</v>
      </c>
      <c r="S23" s="92">
        <v>0</v>
      </c>
      <c r="T23" s="92">
        <v>1000000</v>
      </c>
      <c r="U23" s="93">
        <v>1010820</v>
      </c>
      <c r="V23" s="94" t="s">
        <v>1724</v>
      </c>
    </row>
    <row r="24" spans="1:29" s="20" customFormat="1" ht="17.399999999999999" x14ac:dyDescent="0.4">
      <c r="A24" s="107" t="s">
        <v>1727</v>
      </c>
      <c r="B24" s="105" t="str">
        <f t="shared" si="2"/>
        <v>B</v>
      </c>
      <c r="C24" s="90" t="s">
        <v>1977</v>
      </c>
      <c r="D24" s="90" t="s">
        <v>28</v>
      </c>
      <c r="E24" s="90" t="s">
        <v>736</v>
      </c>
      <c r="F24" s="90" t="s">
        <v>31</v>
      </c>
      <c r="G24" s="90" t="s">
        <v>675</v>
      </c>
      <c r="H24" s="90" t="s">
        <v>1718</v>
      </c>
      <c r="I24" s="90" t="s">
        <v>1727</v>
      </c>
      <c r="J24" s="90" t="s">
        <v>282</v>
      </c>
      <c r="K24" s="90" t="s">
        <v>24</v>
      </c>
      <c r="L24" s="90" t="s">
        <v>1630</v>
      </c>
      <c r="M24" s="90" t="s">
        <v>1641</v>
      </c>
      <c r="N24" s="91">
        <v>40997</v>
      </c>
      <c r="O24" s="90" t="s">
        <v>36</v>
      </c>
      <c r="P24" s="90" t="s">
        <v>28</v>
      </c>
      <c r="Q24" s="91">
        <v>45839</v>
      </c>
      <c r="R24" s="91">
        <v>45839</v>
      </c>
      <c r="S24" s="92">
        <v>0</v>
      </c>
      <c r="T24" s="92">
        <v>1000000</v>
      </c>
      <c r="U24" s="93">
        <v>1000000</v>
      </c>
      <c r="V24" s="94" t="s">
        <v>1724</v>
      </c>
    </row>
    <row r="25" spans="1:29" s="20" customFormat="1" ht="17.399999999999999" x14ac:dyDescent="0.4">
      <c r="A25" s="105"/>
      <c r="B25" s="105"/>
      <c r="C25" s="10"/>
      <c r="D25" s="10"/>
      <c r="E25" s="10"/>
      <c r="F25" s="10"/>
      <c r="G25" s="10"/>
      <c r="H25" s="10"/>
      <c r="I25" s="10"/>
      <c r="J25" s="65"/>
      <c r="K25" s="10"/>
      <c r="L25" s="10"/>
      <c r="M25" s="10"/>
      <c r="N25" s="66"/>
      <c r="O25" s="10"/>
      <c r="P25" s="65"/>
      <c r="Q25" s="67"/>
      <c r="R25" s="66"/>
      <c r="S25" s="68"/>
      <c r="T25" s="69"/>
      <c r="U25" s="70"/>
      <c r="V25" s="19"/>
    </row>
    <row r="26" spans="1:29" s="20" customFormat="1" ht="21" x14ac:dyDescent="0.4">
      <c r="A26" s="103" t="s">
        <v>1338</v>
      </c>
      <c r="B26" s="103"/>
      <c r="C26" s="104"/>
      <c r="D26" s="104"/>
      <c r="E26" s="10"/>
      <c r="F26" s="10"/>
      <c r="G26" s="10"/>
      <c r="H26" s="10"/>
      <c r="I26" s="10"/>
      <c r="J26" s="65"/>
      <c r="K26" s="10"/>
      <c r="L26" s="10"/>
      <c r="M26" s="10"/>
      <c r="N26" s="66"/>
      <c r="O26" s="10"/>
      <c r="P26" s="65"/>
      <c r="Q26" s="67"/>
      <c r="R26" s="66"/>
      <c r="S26" s="68"/>
      <c r="T26" s="69"/>
      <c r="U26" s="70"/>
      <c r="V26" s="19"/>
    </row>
    <row r="27" spans="1:29" s="20" customFormat="1" ht="17.399999999999999" x14ac:dyDescent="0.4">
      <c r="A27" s="106" t="s">
        <v>1325</v>
      </c>
      <c r="B27" s="105" t="str">
        <f t="shared" ref="B27:B30" si="3">MID(C27,3,1)</f>
        <v>O</v>
      </c>
      <c r="C27" s="1" t="s">
        <v>462</v>
      </c>
      <c r="D27" s="1" t="s">
        <v>28</v>
      </c>
      <c r="E27" s="1" t="s">
        <v>736</v>
      </c>
      <c r="F27" s="1" t="s">
        <v>31</v>
      </c>
      <c r="G27" s="1" t="s">
        <v>1707</v>
      </c>
      <c r="H27" s="1" t="s">
        <v>463</v>
      </c>
      <c r="I27" s="1" t="s">
        <v>118</v>
      </c>
      <c r="J27" s="1" t="s">
        <v>33</v>
      </c>
      <c r="K27" s="1" t="s">
        <v>41</v>
      </c>
      <c r="L27" s="1" t="s">
        <v>464</v>
      </c>
      <c r="M27" s="1" t="s">
        <v>465</v>
      </c>
      <c r="N27" s="75">
        <v>37257</v>
      </c>
      <c r="O27" s="1" t="s">
        <v>36</v>
      </c>
      <c r="P27" s="1" t="s">
        <v>28</v>
      </c>
      <c r="Q27" s="75">
        <v>43831</v>
      </c>
      <c r="R27" s="75">
        <v>45444</v>
      </c>
      <c r="S27" s="88">
        <v>0</v>
      </c>
      <c r="T27" s="88">
        <v>5000000</v>
      </c>
      <c r="U27" s="89">
        <v>9437000</v>
      </c>
      <c r="V27" s="72" t="s">
        <v>1720</v>
      </c>
    </row>
    <row r="28" spans="1:29" s="20" customFormat="1" ht="17.399999999999999" x14ac:dyDescent="0.4">
      <c r="A28" s="106" t="s">
        <v>1325</v>
      </c>
      <c r="B28" s="105" t="str">
        <f t="shared" si="3"/>
        <v>O</v>
      </c>
      <c r="C28" s="1" t="s">
        <v>360</v>
      </c>
      <c r="D28" s="1" t="s">
        <v>28</v>
      </c>
      <c r="E28" s="1" t="s">
        <v>736</v>
      </c>
      <c r="F28" s="1" t="s">
        <v>31</v>
      </c>
      <c r="G28" s="1" t="s">
        <v>1707</v>
      </c>
      <c r="H28" s="1" t="s">
        <v>361</v>
      </c>
      <c r="I28" s="1" t="s">
        <v>118</v>
      </c>
      <c r="J28" s="1" t="s">
        <v>282</v>
      </c>
      <c r="K28" s="1" t="s">
        <v>41</v>
      </c>
      <c r="L28" s="1" t="s">
        <v>358</v>
      </c>
      <c r="M28" s="1" t="s">
        <v>362</v>
      </c>
      <c r="N28" s="75">
        <v>43800</v>
      </c>
      <c r="O28" s="1" t="s">
        <v>36</v>
      </c>
      <c r="P28" s="1" t="s">
        <v>28</v>
      </c>
      <c r="Q28" s="75">
        <v>43800</v>
      </c>
      <c r="R28" s="75">
        <v>45444</v>
      </c>
      <c r="S28" s="88">
        <v>0</v>
      </c>
      <c r="T28" s="88">
        <v>61450000</v>
      </c>
      <c r="U28" s="89">
        <v>10090620</v>
      </c>
      <c r="V28" s="72" t="s">
        <v>1721</v>
      </c>
    </row>
    <row r="29" spans="1:29" s="20" customFormat="1" ht="17.399999999999999" x14ac:dyDescent="0.4">
      <c r="A29" s="105" t="s">
        <v>1324</v>
      </c>
      <c r="B29" s="105" t="str">
        <f t="shared" si="3"/>
        <v>B</v>
      </c>
      <c r="C29" s="1" t="s">
        <v>512</v>
      </c>
      <c r="D29" s="1" t="s">
        <v>28</v>
      </c>
      <c r="E29" s="1" t="s">
        <v>736</v>
      </c>
      <c r="F29" s="1" t="s">
        <v>31</v>
      </c>
      <c r="G29" s="1" t="s">
        <v>1707</v>
      </c>
      <c r="H29" s="1" t="s">
        <v>513</v>
      </c>
      <c r="I29" s="1" t="s">
        <v>118</v>
      </c>
      <c r="J29" s="1" t="s">
        <v>62</v>
      </c>
      <c r="K29" s="1" t="s">
        <v>41</v>
      </c>
      <c r="L29" s="1" t="s">
        <v>506</v>
      </c>
      <c r="M29" s="1" t="s">
        <v>514</v>
      </c>
      <c r="N29" s="75">
        <v>40817</v>
      </c>
      <c r="O29" s="1" t="s">
        <v>27</v>
      </c>
      <c r="P29" s="1" t="s">
        <v>45</v>
      </c>
      <c r="Q29" s="75">
        <v>40817</v>
      </c>
      <c r="R29" s="75">
        <v>45444</v>
      </c>
      <c r="S29" s="88">
        <v>0</v>
      </c>
      <c r="T29" s="88">
        <v>23650000</v>
      </c>
      <c r="U29" s="89">
        <v>-25340460</v>
      </c>
      <c r="V29" s="72" t="s">
        <v>1722</v>
      </c>
    </row>
    <row r="30" spans="1:29" s="20" customFormat="1" ht="17.399999999999999" x14ac:dyDescent="0.4">
      <c r="A30" s="105" t="s">
        <v>1324</v>
      </c>
      <c r="B30" s="105" t="str">
        <f t="shared" si="3"/>
        <v>B</v>
      </c>
      <c r="C30" s="1" t="s">
        <v>1159</v>
      </c>
      <c r="D30" s="1" t="s">
        <v>28</v>
      </c>
      <c r="E30" s="1" t="s">
        <v>736</v>
      </c>
      <c r="F30" s="1" t="s">
        <v>31</v>
      </c>
      <c r="G30" s="1" t="s">
        <v>60</v>
      </c>
      <c r="H30" s="1" t="s">
        <v>1364</v>
      </c>
      <c r="I30" s="1" t="s">
        <v>118</v>
      </c>
      <c r="J30" s="1" t="s">
        <v>23</v>
      </c>
      <c r="K30" s="1" t="s">
        <v>24</v>
      </c>
      <c r="L30" s="1" t="s">
        <v>1160</v>
      </c>
      <c r="M30" s="1" t="s">
        <v>1161</v>
      </c>
      <c r="N30" s="75">
        <v>38018</v>
      </c>
      <c r="O30" s="1" t="s">
        <v>36</v>
      </c>
      <c r="P30" s="1" t="s">
        <v>28</v>
      </c>
      <c r="Q30" s="75">
        <v>45474</v>
      </c>
      <c r="R30" s="75">
        <v>45749</v>
      </c>
      <c r="S30" s="88">
        <v>0</v>
      </c>
      <c r="T30" s="88">
        <v>3300000</v>
      </c>
      <c r="U30" s="89">
        <v>9352750</v>
      </c>
      <c r="V30" s="72" t="s">
        <v>1723</v>
      </c>
    </row>
    <row r="31" spans="1:29" s="20" customFormat="1" ht="17.399999999999999" x14ac:dyDescent="0.4">
      <c r="A31" s="106"/>
      <c r="B31" s="106"/>
      <c r="C31" s="10"/>
      <c r="D31" s="10"/>
      <c r="E31" s="10"/>
      <c r="F31" s="10"/>
      <c r="G31" s="10"/>
      <c r="H31" s="10"/>
      <c r="I31" s="10"/>
      <c r="J31" s="65"/>
      <c r="K31" s="10"/>
      <c r="L31" s="10"/>
      <c r="M31" s="10"/>
      <c r="N31" s="66"/>
      <c r="O31" s="10"/>
      <c r="P31" s="65"/>
      <c r="Q31" s="67"/>
      <c r="R31" s="66"/>
      <c r="S31" s="68"/>
      <c r="T31" s="69"/>
      <c r="U31" s="73"/>
      <c r="V31" s="19"/>
    </row>
    <row r="32" spans="1:29" ht="21" x14ac:dyDescent="0.4">
      <c r="A32" s="103" t="s">
        <v>1339</v>
      </c>
      <c r="B32" s="103"/>
      <c r="C32" s="104"/>
      <c r="D32" s="104"/>
      <c r="E32" s="11"/>
      <c r="F32" s="11"/>
      <c r="G32" s="11"/>
      <c r="H32" s="11"/>
      <c r="I32" s="11"/>
      <c r="J32" s="11"/>
      <c r="K32" s="11"/>
      <c r="L32" s="11"/>
      <c r="M32" s="15"/>
      <c r="N32" s="11"/>
      <c r="O32" s="11"/>
      <c r="P32" s="10"/>
      <c r="Q32" s="10"/>
      <c r="R32" s="11"/>
      <c r="S32" s="11"/>
      <c r="T32" s="11"/>
      <c r="U32" s="17"/>
      <c r="V32" s="26"/>
      <c r="W32" s="10"/>
      <c r="X32" s="11"/>
      <c r="Y32" s="9"/>
      <c r="Z32" s="9"/>
      <c r="AA32" s="9"/>
      <c r="AB32" s="9"/>
      <c r="AC32" s="9"/>
    </row>
    <row r="33" spans="1:33" s="20" customFormat="1" ht="17.399999999999999" x14ac:dyDescent="0.4">
      <c r="A33" s="13"/>
      <c r="B33" s="13"/>
      <c r="C33" s="6" t="s">
        <v>0</v>
      </c>
      <c r="D33" s="6" t="s">
        <v>1</v>
      </c>
      <c r="E33" s="6" t="s">
        <v>2</v>
      </c>
      <c r="F33" s="6" t="s">
        <v>3</v>
      </c>
      <c r="G33" s="6" t="s">
        <v>4</v>
      </c>
      <c r="H33" s="6" t="s">
        <v>5</v>
      </c>
      <c r="I33" s="6" t="s">
        <v>6</v>
      </c>
      <c r="J33" s="6" t="s">
        <v>1307</v>
      </c>
      <c r="K33" s="6" t="s">
        <v>7</v>
      </c>
      <c r="L33" s="6" t="s">
        <v>8</v>
      </c>
      <c r="M33" s="6" t="s">
        <v>9</v>
      </c>
      <c r="N33" s="6" t="s">
        <v>10</v>
      </c>
      <c r="O33" s="6" t="s">
        <v>11</v>
      </c>
      <c r="P33" s="6" t="s">
        <v>12</v>
      </c>
      <c r="Q33" s="6" t="s">
        <v>13</v>
      </c>
      <c r="R33" s="6" t="s">
        <v>14</v>
      </c>
      <c r="S33" s="6" t="s">
        <v>15</v>
      </c>
      <c r="T33" s="6" t="s">
        <v>16</v>
      </c>
      <c r="U33" s="6" t="s">
        <v>1312</v>
      </c>
      <c r="V33" s="6" t="s">
        <v>1313</v>
      </c>
      <c r="W33" s="19"/>
      <c r="X33" s="19"/>
      <c r="Y33" s="19"/>
      <c r="Z33" s="19"/>
      <c r="AA33" s="19"/>
      <c r="AB33" s="19"/>
    </row>
    <row r="34" spans="1:33" s="20" customFormat="1" ht="17.399999999999999" x14ac:dyDescent="0.4">
      <c r="A34" s="106" t="s">
        <v>1325</v>
      </c>
      <c r="B34" s="105" t="str">
        <f t="shared" ref="B34:B44" si="4">MID(C34,3,1)</f>
        <v>O</v>
      </c>
      <c r="C34" s="1" t="s">
        <v>631</v>
      </c>
      <c r="D34" s="1" t="s">
        <v>486</v>
      </c>
      <c r="E34" s="1" t="s">
        <v>19</v>
      </c>
      <c r="F34" s="1" t="s">
        <v>39</v>
      </c>
      <c r="G34" s="1" t="s">
        <v>486</v>
      </c>
      <c r="H34" s="1" t="s">
        <v>632</v>
      </c>
      <c r="I34" s="1" t="s">
        <v>118</v>
      </c>
      <c r="J34" s="1" t="s">
        <v>23</v>
      </c>
      <c r="K34" s="1" t="s">
        <v>41</v>
      </c>
      <c r="L34" s="1" t="s">
        <v>86</v>
      </c>
      <c r="M34" s="1" t="s">
        <v>633</v>
      </c>
      <c r="N34" s="75">
        <v>40817</v>
      </c>
      <c r="O34" s="1" t="s">
        <v>27</v>
      </c>
      <c r="P34" s="1" t="s">
        <v>45</v>
      </c>
      <c r="Q34" s="75">
        <v>40817</v>
      </c>
      <c r="R34" s="75">
        <v>44867</v>
      </c>
      <c r="S34" s="88">
        <v>396000</v>
      </c>
      <c r="T34" s="88">
        <v>29510000</v>
      </c>
      <c r="U34" s="88">
        <v>29665244</v>
      </c>
      <c r="V34" s="72"/>
    </row>
    <row r="35" spans="1:33" s="20" customFormat="1" ht="17.399999999999999" x14ac:dyDescent="0.4">
      <c r="A35" s="105" t="s">
        <v>1324</v>
      </c>
      <c r="B35" s="105" t="str">
        <f t="shared" si="4"/>
        <v>B</v>
      </c>
      <c r="C35" s="1" t="s">
        <v>735</v>
      </c>
      <c r="D35" s="1" t="s">
        <v>76</v>
      </c>
      <c r="E35" s="1" t="s">
        <v>19</v>
      </c>
      <c r="F35" s="1" t="s">
        <v>31</v>
      </c>
      <c r="G35" s="1" t="s">
        <v>76</v>
      </c>
      <c r="H35" s="1" t="s">
        <v>736</v>
      </c>
      <c r="I35" s="1" t="s">
        <v>81</v>
      </c>
      <c r="J35" s="1" t="s">
        <v>33</v>
      </c>
      <c r="K35" s="1" t="s">
        <v>24</v>
      </c>
      <c r="L35" s="1" t="s">
        <v>724</v>
      </c>
      <c r="M35" s="1" t="s">
        <v>737</v>
      </c>
      <c r="N35" s="75">
        <v>41671</v>
      </c>
      <c r="O35" s="1" t="s">
        <v>36</v>
      </c>
      <c r="P35" s="1" t="s">
        <v>28</v>
      </c>
      <c r="Q35" s="75">
        <v>44927</v>
      </c>
      <c r="R35" s="75">
        <v>45132</v>
      </c>
      <c r="S35" s="88">
        <v>0</v>
      </c>
      <c r="T35" s="88">
        <v>3000000</v>
      </c>
      <c r="U35" s="88">
        <v>5550360</v>
      </c>
      <c r="V35" s="72"/>
    </row>
    <row r="36" spans="1:33" s="20" customFormat="1" ht="17.399999999999999" x14ac:dyDescent="0.4">
      <c r="A36" s="105" t="s">
        <v>1325</v>
      </c>
      <c r="B36" s="105" t="str">
        <f>MID(C36,3,1)</f>
        <v>O</v>
      </c>
      <c r="C36" s="1" t="s">
        <v>270</v>
      </c>
      <c r="D36" s="1" t="s">
        <v>28</v>
      </c>
      <c r="E36" s="1" t="s">
        <v>736</v>
      </c>
      <c r="F36" s="1" t="s">
        <v>31</v>
      </c>
      <c r="G36" s="1" t="s">
        <v>1840</v>
      </c>
      <c r="H36" s="1" t="s">
        <v>1841</v>
      </c>
      <c r="I36" s="1" t="s">
        <v>118</v>
      </c>
      <c r="J36" s="1" t="s">
        <v>262</v>
      </c>
      <c r="K36" s="1" t="s">
        <v>41</v>
      </c>
      <c r="L36" s="1" t="s">
        <v>263</v>
      </c>
      <c r="M36" s="1" t="s">
        <v>272</v>
      </c>
      <c r="N36" s="75">
        <v>42528</v>
      </c>
      <c r="O36" s="1" t="s">
        <v>36</v>
      </c>
      <c r="P36" s="1" t="s">
        <v>265</v>
      </c>
      <c r="Q36" s="75">
        <v>43831</v>
      </c>
      <c r="R36" s="75">
        <v>45962</v>
      </c>
      <c r="S36" s="1">
        <v>0</v>
      </c>
      <c r="T36" s="88">
        <v>72975000</v>
      </c>
      <c r="U36" s="89"/>
      <c r="V36" s="72"/>
    </row>
    <row r="37" spans="1:33" customFormat="1" ht="16.2" customHeight="1" x14ac:dyDescent="0.4">
      <c r="A37" s="105" t="s">
        <v>1324</v>
      </c>
      <c r="B37" s="105" t="str">
        <f t="shared" ref="B37:B41" si="5">MID(C37,3,1)</f>
        <v>B</v>
      </c>
      <c r="C37" s="1" t="s">
        <v>719</v>
      </c>
      <c r="D37" s="1" t="s">
        <v>675</v>
      </c>
      <c r="E37" s="1" t="s">
        <v>19</v>
      </c>
      <c r="F37" s="1" t="s">
        <v>676</v>
      </c>
      <c r="G37" s="1" t="s">
        <v>736</v>
      </c>
      <c r="H37" s="1" t="s">
        <v>1399</v>
      </c>
      <c r="I37" s="1" t="s">
        <v>118</v>
      </c>
      <c r="J37" s="1" t="s">
        <v>254</v>
      </c>
      <c r="K37" s="1" t="s">
        <v>24</v>
      </c>
      <c r="L37" s="1" t="s">
        <v>715</v>
      </c>
      <c r="M37" s="1" t="s">
        <v>720</v>
      </c>
      <c r="N37" s="75">
        <v>43191</v>
      </c>
      <c r="O37" s="1" t="s">
        <v>36</v>
      </c>
      <c r="P37" s="1" t="s">
        <v>28</v>
      </c>
      <c r="Q37" s="75">
        <v>44927</v>
      </c>
      <c r="R37" s="75">
        <v>44927</v>
      </c>
      <c r="S37" s="152">
        <v>1150000</v>
      </c>
      <c r="T37" s="152">
        <v>8085000</v>
      </c>
      <c r="U37" s="88"/>
      <c r="V37" s="85"/>
      <c r="W37" s="16"/>
      <c r="X37" s="17"/>
      <c r="Y37" s="16"/>
      <c r="Z37" s="32"/>
      <c r="AA37" s="11"/>
      <c r="AB37" s="29"/>
      <c r="AC37" s="29"/>
      <c r="AD37" s="29"/>
      <c r="AE37" s="29"/>
      <c r="AF37" s="29"/>
      <c r="AG37" s="29"/>
    </row>
    <row r="38" spans="1:33" customFormat="1" ht="16.2" customHeight="1" x14ac:dyDescent="0.4">
      <c r="A38" s="106" t="s">
        <v>1325</v>
      </c>
      <c r="B38" s="105" t="str">
        <f t="shared" si="5"/>
        <v>B</v>
      </c>
      <c r="C38" s="1" t="s">
        <v>767</v>
      </c>
      <c r="D38" s="1" t="s">
        <v>675</v>
      </c>
      <c r="E38" s="1" t="s">
        <v>19</v>
      </c>
      <c r="F38" s="1" t="s">
        <v>676</v>
      </c>
      <c r="G38" s="1" t="s">
        <v>736</v>
      </c>
      <c r="H38" s="1" t="s">
        <v>1401</v>
      </c>
      <c r="I38" s="1" t="s">
        <v>81</v>
      </c>
      <c r="J38" s="1" t="s">
        <v>33</v>
      </c>
      <c r="K38" s="1" t="s">
        <v>24</v>
      </c>
      <c r="L38" s="1" t="s">
        <v>749</v>
      </c>
      <c r="M38" s="1" t="s">
        <v>768</v>
      </c>
      <c r="N38" s="75">
        <v>44197</v>
      </c>
      <c r="O38" s="1" t="s">
        <v>36</v>
      </c>
      <c r="P38" s="1" t="s">
        <v>28</v>
      </c>
      <c r="Q38" s="75">
        <v>44927</v>
      </c>
      <c r="R38" s="75">
        <v>44927</v>
      </c>
      <c r="S38" s="152">
        <v>800000</v>
      </c>
      <c r="T38" s="152">
        <v>20604000</v>
      </c>
      <c r="U38" s="88"/>
      <c r="V38" s="85"/>
      <c r="W38" s="16"/>
      <c r="X38" s="17"/>
      <c r="Y38" s="16"/>
      <c r="Z38" s="32"/>
      <c r="AA38" s="11"/>
      <c r="AB38" s="29"/>
      <c r="AC38" s="29"/>
      <c r="AD38" s="29"/>
      <c r="AE38" s="29"/>
      <c r="AF38" s="29"/>
      <c r="AG38" s="29"/>
    </row>
    <row r="39" spans="1:33" customFormat="1" ht="16.2" customHeight="1" x14ac:dyDescent="0.4">
      <c r="A39" s="105" t="s">
        <v>1324</v>
      </c>
      <c r="B39" s="105" t="str">
        <f t="shared" si="5"/>
        <v>B</v>
      </c>
      <c r="C39" s="1" t="s">
        <v>773</v>
      </c>
      <c r="D39" s="1" t="s">
        <v>675</v>
      </c>
      <c r="E39" s="1" t="s">
        <v>19</v>
      </c>
      <c r="F39" s="1" t="s">
        <v>676</v>
      </c>
      <c r="G39" s="1" t="s">
        <v>736</v>
      </c>
      <c r="H39" s="1" t="s">
        <v>1404</v>
      </c>
      <c r="I39" s="1" t="s">
        <v>81</v>
      </c>
      <c r="J39" s="1" t="s">
        <v>33</v>
      </c>
      <c r="K39" s="1" t="s">
        <v>24</v>
      </c>
      <c r="L39" s="1" t="s">
        <v>749</v>
      </c>
      <c r="M39" s="1" t="s">
        <v>774</v>
      </c>
      <c r="N39" s="75">
        <v>44835</v>
      </c>
      <c r="O39" s="1" t="s">
        <v>36</v>
      </c>
      <c r="P39" s="1" t="s">
        <v>28</v>
      </c>
      <c r="Q39" s="75">
        <v>44927</v>
      </c>
      <c r="R39" s="75">
        <v>44927</v>
      </c>
      <c r="S39" s="152">
        <v>800000</v>
      </c>
      <c r="T39" s="152">
        <v>30873000</v>
      </c>
      <c r="U39" s="1"/>
      <c r="V39" s="85"/>
      <c r="W39" s="16"/>
      <c r="X39" s="17"/>
      <c r="Y39" s="16"/>
      <c r="Z39" s="32"/>
      <c r="AA39" s="11"/>
      <c r="AB39" s="29"/>
      <c r="AC39" s="29"/>
      <c r="AD39" s="29"/>
      <c r="AE39" s="29"/>
      <c r="AF39" s="29"/>
      <c r="AG39" s="29"/>
    </row>
    <row r="40" spans="1:33" customFormat="1" ht="16.2" customHeight="1" x14ac:dyDescent="0.4">
      <c r="A40" s="105" t="s">
        <v>1324</v>
      </c>
      <c r="B40" s="105" t="str">
        <f t="shared" si="5"/>
        <v>B</v>
      </c>
      <c r="C40" s="1" t="s">
        <v>780</v>
      </c>
      <c r="D40" s="1" t="s">
        <v>675</v>
      </c>
      <c r="E40" s="1" t="s">
        <v>19</v>
      </c>
      <c r="F40" s="1" t="s">
        <v>676</v>
      </c>
      <c r="G40" s="1" t="s">
        <v>736</v>
      </c>
      <c r="H40" s="1" t="s">
        <v>1406</v>
      </c>
      <c r="I40" s="1" t="s">
        <v>1911</v>
      </c>
      <c r="J40" s="1" t="s">
        <v>129</v>
      </c>
      <c r="K40" s="1" t="s">
        <v>777</v>
      </c>
      <c r="L40" s="1" t="s">
        <v>778</v>
      </c>
      <c r="M40" s="1" t="s">
        <v>782</v>
      </c>
      <c r="N40" s="75">
        <v>40969</v>
      </c>
      <c r="O40" s="1" t="s">
        <v>36</v>
      </c>
      <c r="P40" s="1" t="s">
        <v>28</v>
      </c>
      <c r="Q40" s="75">
        <v>44927</v>
      </c>
      <c r="R40" s="75">
        <v>44927</v>
      </c>
      <c r="S40" s="152">
        <v>500000</v>
      </c>
      <c r="T40" s="152">
        <v>3000000</v>
      </c>
      <c r="U40" s="1"/>
      <c r="V40" s="85"/>
      <c r="W40" s="16"/>
      <c r="X40" s="17"/>
      <c r="Y40" s="16"/>
      <c r="Z40" s="32"/>
      <c r="AA40" s="11"/>
      <c r="AB40" s="29"/>
      <c r="AC40" s="29"/>
      <c r="AD40" s="29"/>
      <c r="AE40" s="29"/>
      <c r="AF40" s="29"/>
      <c r="AG40" s="29"/>
    </row>
    <row r="41" spans="1:33" customFormat="1" ht="16.2" customHeight="1" x14ac:dyDescent="0.4">
      <c r="A41" s="106" t="s">
        <v>1325</v>
      </c>
      <c r="B41" s="105" t="str">
        <f t="shared" si="5"/>
        <v>O</v>
      </c>
      <c r="C41" s="1" t="s">
        <v>1433</v>
      </c>
      <c r="D41" s="1" t="s">
        <v>675</v>
      </c>
      <c r="E41" s="1" t="s">
        <v>19</v>
      </c>
      <c r="F41" s="1" t="s">
        <v>676</v>
      </c>
      <c r="G41" s="1" t="s">
        <v>736</v>
      </c>
      <c r="H41" s="1" t="s">
        <v>1435</v>
      </c>
      <c r="I41" s="1" t="s">
        <v>118</v>
      </c>
      <c r="J41" s="1" t="s">
        <v>254</v>
      </c>
      <c r="K41" s="1" t="s">
        <v>24</v>
      </c>
      <c r="L41" s="1" t="s">
        <v>1436</v>
      </c>
      <c r="M41" s="1" t="s">
        <v>1437</v>
      </c>
      <c r="N41" s="75">
        <v>43207</v>
      </c>
      <c r="O41" s="1" t="s">
        <v>36</v>
      </c>
      <c r="P41" s="1" t="s">
        <v>28</v>
      </c>
      <c r="Q41" s="75">
        <v>45839</v>
      </c>
      <c r="R41" s="75">
        <v>45839</v>
      </c>
      <c r="S41" s="152">
        <v>1150000</v>
      </c>
      <c r="T41" s="152">
        <v>5000000</v>
      </c>
      <c r="U41" s="1"/>
      <c r="V41" s="85"/>
      <c r="W41" s="16"/>
      <c r="X41" s="17"/>
      <c r="Y41" s="16"/>
      <c r="Z41" s="32"/>
      <c r="AA41" s="11"/>
      <c r="AB41" s="29"/>
      <c r="AC41" s="29"/>
      <c r="AD41" s="29"/>
      <c r="AE41" s="29"/>
      <c r="AF41" s="29"/>
      <c r="AG41" s="29"/>
    </row>
    <row r="42" spans="1:33" customFormat="1" ht="16.2" customHeight="1" x14ac:dyDescent="0.4">
      <c r="A42" s="106" t="s">
        <v>1325</v>
      </c>
      <c r="B42" s="105" t="str">
        <f t="shared" si="4"/>
        <v>O</v>
      </c>
      <c r="C42" s="1" t="s">
        <v>1459</v>
      </c>
      <c r="D42" s="1" t="s">
        <v>675</v>
      </c>
      <c r="E42" s="1" t="s">
        <v>19</v>
      </c>
      <c r="F42" s="1" t="s">
        <v>676</v>
      </c>
      <c r="G42" s="1" t="s">
        <v>736</v>
      </c>
      <c r="H42" s="1" t="s">
        <v>1460</v>
      </c>
      <c r="I42" s="1" t="s">
        <v>118</v>
      </c>
      <c r="J42" s="1" t="s">
        <v>339</v>
      </c>
      <c r="K42" s="1" t="s">
        <v>24</v>
      </c>
      <c r="L42" s="1" t="s">
        <v>340</v>
      </c>
      <c r="M42" s="1" t="s">
        <v>1461</v>
      </c>
      <c r="N42" s="75">
        <v>43641</v>
      </c>
      <c r="O42" s="1" t="s">
        <v>36</v>
      </c>
      <c r="P42" s="1" t="s">
        <v>28</v>
      </c>
      <c r="Q42" s="75">
        <v>45839</v>
      </c>
      <c r="R42" s="75">
        <v>45839</v>
      </c>
      <c r="S42" s="152">
        <v>1000000</v>
      </c>
      <c r="T42" s="152">
        <v>5000000</v>
      </c>
      <c r="U42" s="1"/>
      <c r="V42" s="85"/>
      <c r="W42" s="16"/>
      <c r="X42" s="17"/>
      <c r="Y42" s="16"/>
      <c r="Z42" s="32"/>
      <c r="AA42" s="11"/>
      <c r="AB42" s="29"/>
      <c r="AC42" s="29"/>
      <c r="AD42" s="29"/>
      <c r="AE42" s="29"/>
      <c r="AF42" s="29"/>
      <c r="AG42" s="29"/>
    </row>
    <row r="43" spans="1:33" customFormat="1" ht="16.2" customHeight="1" x14ac:dyDescent="0.4">
      <c r="A43" s="106" t="s">
        <v>1325</v>
      </c>
      <c r="B43" s="105" t="str">
        <f t="shared" si="4"/>
        <v>O</v>
      </c>
      <c r="C43" s="1" t="s">
        <v>1478</v>
      </c>
      <c r="D43" s="1" t="s">
        <v>675</v>
      </c>
      <c r="E43" s="1" t="s">
        <v>19</v>
      </c>
      <c r="F43" s="1" t="s">
        <v>676</v>
      </c>
      <c r="G43" s="1" t="s">
        <v>736</v>
      </c>
      <c r="H43" s="1" t="s">
        <v>1479</v>
      </c>
      <c r="I43" s="1" t="s">
        <v>118</v>
      </c>
      <c r="J43" s="1" t="s">
        <v>339</v>
      </c>
      <c r="K43" s="1" t="s">
        <v>24</v>
      </c>
      <c r="L43" s="1" t="s">
        <v>340</v>
      </c>
      <c r="M43" s="1" t="s">
        <v>1480</v>
      </c>
      <c r="N43" s="75">
        <v>42935</v>
      </c>
      <c r="O43" s="1" t="s">
        <v>36</v>
      </c>
      <c r="P43" s="1" t="s">
        <v>28</v>
      </c>
      <c r="Q43" s="75">
        <v>45839</v>
      </c>
      <c r="R43" s="75">
        <v>45839</v>
      </c>
      <c r="S43" s="152">
        <v>1000000</v>
      </c>
      <c r="T43" s="152">
        <v>5000000</v>
      </c>
      <c r="U43" s="1"/>
      <c r="V43" s="85"/>
      <c r="W43" s="16"/>
      <c r="X43" s="17"/>
      <c r="Y43" s="16"/>
      <c r="Z43" s="32"/>
      <c r="AA43" s="11"/>
      <c r="AB43" s="29"/>
      <c r="AC43" s="29"/>
      <c r="AD43" s="29"/>
      <c r="AE43" s="29"/>
      <c r="AF43" s="29"/>
      <c r="AG43" s="29"/>
    </row>
    <row r="44" spans="1:33" customFormat="1" ht="16.2" customHeight="1" x14ac:dyDescent="0.4">
      <c r="A44" s="105" t="s">
        <v>1324</v>
      </c>
      <c r="B44" s="105" t="str">
        <f t="shared" si="4"/>
        <v>B</v>
      </c>
      <c r="C44" s="1" t="s">
        <v>1817</v>
      </c>
      <c r="D44" s="1" t="s">
        <v>675</v>
      </c>
      <c r="E44" s="1" t="s">
        <v>19</v>
      </c>
      <c r="F44" s="1" t="s">
        <v>676</v>
      </c>
      <c r="G44" s="1" t="s">
        <v>736</v>
      </c>
      <c r="H44" s="1" t="s">
        <v>1788</v>
      </c>
      <c r="I44" s="1" t="s">
        <v>1876</v>
      </c>
      <c r="J44" s="1" t="s">
        <v>282</v>
      </c>
      <c r="K44" s="1" t="s">
        <v>24</v>
      </c>
      <c r="L44" s="1" t="s">
        <v>1630</v>
      </c>
      <c r="M44" s="1" t="s">
        <v>1631</v>
      </c>
      <c r="N44" s="75">
        <v>40891</v>
      </c>
      <c r="O44" s="1" t="s">
        <v>36</v>
      </c>
      <c r="P44" s="1" t="s">
        <v>28</v>
      </c>
      <c r="Q44" s="75">
        <v>45839</v>
      </c>
      <c r="R44" s="75">
        <v>45931</v>
      </c>
      <c r="S44" s="152">
        <v>580000</v>
      </c>
      <c r="T44" s="152">
        <v>1000000</v>
      </c>
      <c r="U44" s="1"/>
      <c r="V44" s="85"/>
      <c r="W44" s="16"/>
      <c r="X44" s="17"/>
      <c r="Y44" s="16"/>
      <c r="Z44" s="32"/>
      <c r="AA44" s="11"/>
      <c r="AB44" s="29"/>
      <c r="AC44" s="29"/>
      <c r="AD44" s="29"/>
      <c r="AE44" s="29"/>
      <c r="AF44" s="29"/>
      <c r="AG44" s="29"/>
    </row>
    <row r="45" spans="1:33" customFormat="1" ht="16.2" customHeight="1" x14ac:dyDescent="0.4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86"/>
      <c r="O45" s="29"/>
      <c r="P45" s="29"/>
      <c r="Q45" s="29"/>
      <c r="R45" s="86"/>
      <c r="S45" s="86"/>
      <c r="T45" s="29"/>
      <c r="U45" s="10"/>
      <c r="V45" s="9"/>
      <c r="W45" s="16"/>
      <c r="X45" s="17"/>
      <c r="Y45" s="16"/>
      <c r="Z45" s="32"/>
      <c r="AA45" s="11"/>
      <c r="AB45" s="29"/>
      <c r="AC45" s="29"/>
      <c r="AD45" s="29"/>
      <c r="AE45" s="29"/>
      <c r="AF45" s="29"/>
      <c r="AG45" s="29"/>
    </row>
    <row r="46" spans="1:33" customFormat="1" ht="16.2" customHeight="1" x14ac:dyDescent="0.4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86"/>
      <c r="O46" s="29"/>
      <c r="P46" s="29"/>
      <c r="Q46" s="29"/>
      <c r="R46" s="86"/>
      <c r="S46" s="86"/>
      <c r="T46" s="29"/>
      <c r="U46" s="10"/>
      <c r="V46" s="9"/>
      <c r="W46" s="16"/>
      <c r="X46" s="17"/>
      <c r="Y46" s="16"/>
      <c r="Z46" s="32"/>
      <c r="AA46" s="11"/>
      <c r="AB46" s="29"/>
      <c r="AC46" s="29"/>
      <c r="AD46" s="29"/>
      <c r="AE46" s="29"/>
      <c r="AF46" s="29"/>
      <c r="AG46" s="29"/>
    </row>
    <row r="47" spans="1:33" ht="21" x14ac:dyDescent="0.4">
      <c r="A47" s="103" t="s">
        <v>1340</v>
      </c>
      <c r="B47" s="103"/>
      <c r="C47" s="104"/>
      <c r="D47" s="104"/>
      <c r="E47" s="11"/>
      <c r="F47" s="11"/>
      <c r="G47" s="11"/>
      <c r="H47" s="11"/>
      <c r="I47" s="11"/>
      <c r="J47" s="11"/>
      <c r="K47" s="11"/>
      <c r="L47" s="11"/>
      <c r="M47" s="15"/>
      <c r="N47" s="11"/>
      <c r="O47" s="11"/>
      <c r="P47" s="10"/>
      <c r="Q47" s="10"/>
      <c r="R47" s="11"/>
      <c r="S47" s="11"/>
      <c r="T47" s="11"/>
      <c r="U47" s="17"/>
      <c r="V47" s="26"/>
      <c r="W47" s="10"/>
      <c r="X47" s="11"/>
      <c r="Y47" s="9"/>
      <c r="Z47" s="9"/>
      <c r="AA47" s="9"/>
      <c r="AB47" s="9"/>
      <c r="AC47" s="9"/>
    </row>
    <row r="48" spans="1:33" s="20" customFormat="1" ht="17.399999999999999" x14ac:dyDescent="0.4">
      <c r="A48" s="13"/>
      <c r="B48" s="13"/>
      <c r="C48" s="6" t="s">
        <v>0</v>
      </c>
      <c r="D48" s="6" t="s">
        <v>1</v>
      </c>
      <c r="E48" s="6" t="s">
        <v>2</v>
      </c>
      <c r="F48" s="6" t="s">
        <v>3</v>
      </c>
      <c r="G48" s="6" t="s">
        <v>4</v>
      </c>
      <c r="H48" s="6" t="s">
        <v>5</v>
      </c>
      <c r="I48" s="6" t="s">
        <v>6</v>
      </c>
      <c r="J48" s="6" t="s">
        <v>1307</v>
      </c>
      <c r="K48" s="6" t="s">
        <v>7</v>
      </c>
      <c r="L48" s="6" t="s">
        <v>8</v>
      </c>
      <c r="M48" s="6" t="s">
        <v>9</v>
      </c>
      <c r="N48" s="6" t="s">
        <v>10</v>
      </c>
      <c r="O48" s="6" t="s">
        <v>11</v>
      </c>
      <c r="P48" s="6" t="s">
        <v>12</v>
      </c>
      <c r="Q48" s="6" t="s">
        <v>13</v>
      </c>
      <c r="R48" s="6" t="s">
        <v>14</v>
      </c>
      <c r="S48" s="6" t="s">
        <v>15</v>
      </c>
      <c r="T48" s="6" t="s">
        <v>16</v>
      </c>
      <c r="U48" s="6" t="s">
        <v>1312</v>
      </c>
      <c r="V48" s="6" t="s">
        <v>1313</v>
      </c>
      <c r="W48" s="19"/>
      <c r="X48" s="19"/>
      <c r="Y48" s="19"/>
      <c r="Z48" s="19"/>
      <c r="AA48" s="19"/>
      <c r="AB48" s="19"/>
    </row>
    <row r="49" spans="1:33" s="20" customFormat="1" ht="17.399999999999999" x14ac:dyDescent="0.4">
      <c r="A49" s="106"/>
      <c r="B49" s="106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1"/>
      <c r="O49" s="40"/>
      <c r="P49" s="40"/>
      <c r="Q49" s="41"/>
      <c r="R49" s="41"/>
      <c r="S49" s="77"/>
      <c r="T49" s="77"/>
      <c r="U49" s="71"/>
      <c r="V49" s="81"/>
      <c r="W49" s="19"/>
      <c r="X49" s="19"/>
      <c r="Y49" s="19"/>
      <c r="Z49" s="19"/>
      <c r="AA49" s="19"/>
    </row>
    <row r="50" spans="1:33" s="20" customFormat="1" ht="17.399999999999999" x14ac:dyDescent="0.4">
      <c r="A50" s="105"/>
      <c r="B50" s="105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1"/>
      <c r="O50" s="40"/>
      <c r="P50" s="40"/>
      <c r="Q50" s="41"/>
      <c r="R50" s="41"/>
      <c r="S50" s="77"/>
      <c r="T50" s="77"/>
      <c r="U50" s="79"/>
      <c r="V50" s="72"/>
      <c r="W50" s="19"/>
      <c r="X50" s="19"/>
      <c r="Y50" s="19"/>
      <c r="Z50" s="19"/>
      <c r="AA50" s="19"/>
      <c r="AB50" s="19"/>
    </row>
    <row r="51" spans="1:33" ht="20.399999999999999" customHeight="1" x14ac:dyDescent="0.4">
      <c r="A51" s="105"/>
      <c r="B51" s="105"/>
      <c r="C51" s="22"/>
      <c r="D51" s="22"/>
      <c r="E51" s="22"/>
      <c r="F51" s="22"/>
      <c r="G51" s="22"/>
      <c r="H51" s="22"/>
      <c r="I51" s="22"/>
      <c r="J51" s="22"/>
      <c r="K51" s="22"/>
      <c r="L51" s="21"/>
      <c r="M51" s="22"/>
      <c r="N51" s="23"/>
      <c r="O51" s="22"/>
      <c r="P51" s="22"/>
      <c r="Q51" s="23"/>
      <c r="R51" s="23"/>
      <c r="S51" s="27"/>
      <c r="T51" s="45"/>
      <c r="U51" s="80"/>
      <c r="V51" s="28"/>
      <c r="W51" s="11"/>
      <c r="X51" s="9"/>
      <c r="Y51" s="9"/>
      <c r="Z51" s="9"/>
      <c r="AA51" s="9"/>
      <c r="AB51" s="9"/>
    </row>
    <row r="52" spans="1:33" customFormat="1" ht="16.2" customHeight="1" x14ac:dyDescent="0.4">
      <c r="A52" s="29"/>
      <c r="B52" s="29"/>
      <c r="C52" s="29"/>
      <c r="D52" s="30"/>
      <c r="E52" s="30"/>
      <c r="F52" s="31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30"/>
      <c r="U52" s="9"/>
      <c r="V52" s="9"/>
      <c r="W52" s="16"/>
      <c r="X52" s="17"/>
      <c r="Y52" s="16"/>
      <c r="Z52" s="32"/>
      <c r="AA52" s="11"/>
      <c r="AB52" s="29"/>
      <c r="AC52" s="29"/>
      <c r="AD52" s="29"/>
      <c r="AE52" s="29"/>
      <c r="AF52" s="29"/>
      <c r="AG52" s="29"/>
    </row>
    <row r="53" spans="1:33" ht="21" x14ac:dyDescent="0.4">
      <c r="A53" s="108" t="s">
        <v>1728</v>
      </c>
      <c r="B53" s="108"/>
      <c r="C53" s="104"/>
      <c r="D53" s="104"/>
      <c r="E53" s="109"/>
      <c r="F53" s="11"/>
      <c r="H53" s="11"/>
      <c r="I53" s="11"/>
      <c r="J53" s="11"/>
      <c r="K53" s="11"/>
      <c r="L53" s="11"/>
      <c r="M53" s="15"/>
      <c r="N53" s="11"/>
      <c r="O53" s="10"/>
      <c r="P53" s="10"/>
      <c r="Q53" s="11"/>
      <c r="R53" s="11"/>
      <c r="S53" s="11"/>
      <c r="T53" s="16"/>
      <c r="U53" s="16"/>
      <c r="V53" s="18"/>
      <c r="W53" s="11"/>
      <c r="X53" s="9"/>
      <c r="Y53" s="9"/>
      <c r="Z53" s="9"/>
      <c r="AA53" s="9"/>
      <c r="AB53" s="9"/>
    </row>
    <row r="54" spans="1:33" s="20" customFormat="1" ht="34.799999999999997" x14ac:dyDescent="0.4">
      <c r="A54" s="13"/>
      <c r="B54" s="13"/>
      <c r="C54" s="6" t="s">
        <v>0</v>
      </c>
      <c r="D54" s="6" t="s">
        <v>1</v>
      </c>
      <c r="E54" s="6" t="s">
        <v>2</v>
      </c>
      <c r="F54" s="6" t="s">
        <v>3</v>
      </c>
      <c r="G54" s="6" t="s">
        <v>4</v>
      </c>
      <c r="H54" s="6" t="s">
        <v>5</v>
      </c>
      <c r="I54" s="6" t="s">
        <v>6</v>
      </c>
      <c r="J54" s="5" t="s">
        <v>1307</v>
      </c>
      <c r="K54" s="6" t="s">
        <v>7</v>
      </c>
      <c r="L54" s="6" t="s">
        <v>8</v>
      </c>
      <c r="M54" s="6" t="s">
        <v>9</v>
      </c>
      <c r="N54" s="6" t="s">
        <v>10</v>
      </c>
      <c r="O54" s="6" t="s">
        <v>11</v>
      </c>
      <c r="P54" s="6" t="s">
        <v>12</v>
      </c>
      <c r="Q54" s="5" t="s">
        <v>1309</v>
      </c>
      <c r="R54" s="5" t="s">
        <v>1310</v>
      </c>
      <c r="S54" s="6" t="s">
        <v>15</v>
      </c>
      <c r="T54" s="6" t="s">
        <v>16</v>
      </c>
      <c r="U54" s="6" t="s">
        <v>1312</v>
      </c>
      <c r="V54" s="6" t="s">
        <v>1313</v>
      </c>
      <c r="W54" s="19"/>
    </row>
    <row r="55" spans="1:33" s="20" customFormat="1" ht="17.399999999999999" x14ac:dyDescent="0.4">
      <c r="A55" s="105" t="s">
        <v>1324</v>
      </c>
      <c r="B55" s="105" t="str">
        <f>MID(C55,3,1)</f>
        <v>B</v>
      </c>
      <c r="C55" s="1" t="s">
        <v>441</v>
      </c>
      <c r="D55" s="1" t="s">
        <v>28</v>
      </c>
      <c r="E55" s="1" t="s">
        <v>736</v>
      </c>
      <c r="F55" s="1" t="s">
        <v>31</v>
      </c>
      <c r="G55" s="1" t="s">
        <v>1707</v>
      </c>
      <c r="H55" s="1" t="s">
        <v>442</v>
      </c>
      <c r="I55" s="1" t="s">
        <v>118</v>
      </c>
      <c r="J55" s="1" t="s">
        <v>33</v>
      </c>
      <c r="K55" s="1" t="s">
        <v>443</v>
      </c>
      <c r="L55" s="1"/>
      <c r="M55" s="1" t="s">
        <v>444</v>
      </c>
      <c r="N55" s="75">
        <v>36161</v>
      </c>
      <c r="O55" s="1" t="s">
        <v>36</v>
      </c>
      <c r="P55" s="1" t="s">
        <v>28</v>
      </c>
      <c r="Q55" s="75">
        <v>43101</v>
      </c>
      <c r="R55" s="75">
        <v>45597</v>
      </c>
      <c r="S55" s="1">
        <v>0</v>
      </c>
      <c r="T55" s="88">
        <v>2000000</v>
      </c>
      <c r="U55" s="89">
        <v>-55399900</v>
      </c>
      <c r="V55" s="72"/>
    </row>
    <row r="56" spans="1:33" s="20" customFormat="1" ht="17.399999999999999" x14ac:dyDescent="0.4">
      <c r="A56" s="105" t="s">
        <v>1324</v>
      </c>
      <c r="B56" s="105" t="str">
        <f t="shared" ref="B56:B60" si="6">MID(C56,3,1)</f>
        <v>B</v>
      </c>
      <c r="C56" s="1" t="s">
        <v>1022</v>
      </c>
      <c r="D56" s="1" t="s">
        <v>28</v>
      </c>
      <c r="E56" s="1" t="s">
        <v>736</v>
      </c>
      <c r="F56" s="1" t="s">
        <v>31</v>
      </c>
      <c r="G56" s="1" t="s">
        <v>1707</v>
      </c>
      <c r="H56" s="1" t="s">
        <v>1023</v>
      </c>
      <c r="I56" s="1" t="s">
        <v>81</v>
      </c>
      <c r="J56" s="1" t="s">
        <v>33</v>
      </c>
      <c r="K56" s="1" t="s">
        <v>24</v>
      </c>
      <c r="L56" s="1" t="s">
        <v>1024</v>
      </c>
      <c r="M56" s="1" t="s">
        <v>1025</v>
      </c>
      <c r="N56" s="75">
        <v>37659</v>
      </c>
      <c r="O56" s="1" t="s">
        <v>36</v>
      </c>
      <c r="P56" s="1" t="s">
        <v>28</v>
      </c>
      <c r="Q56" s="75">
        <v>37987</v>
      </c>
      <c r="R56" s="75">
        <v>45352</v>
      </c>
      <c r="S56" s="1">
        <v>0</v>
      </c>
      <c r="T56" s="88">
        <v>1300000</v>
      </c>
      <c r="U56" s="89">
        <v>640672</v>
      </c>
      <c r="V56" s="72"/>
    </row>
    <row r="57" spans="1:33" s="20" customFormat="1" ht="17.399999999999999" x14ac:dyDescent="0.4">
      <c r="A57" s="105" t="s">
        <v>1324</v>
      </c>
      <c r="B57" s="105" t="str">
        <f t="shared" si="6"/>
        <v>B</v>
      </c>
      <c r="C57" s="1" t="s">
        <v>1026</v>
      </c>
      <c r="D57" s="1" t="s">
        <v>28</v>
      </c>
      <c r="E57" s="1" t="s">
        <v>736</v>
      </c>
      <c r="F57" s="1" t="s">
        <v>31</v>
      </c>
      <c r="G57" s="1" t="s">
        <v>1707</v>
      </c>
      <c r="H57" s="1" t="s">
        <v>1027</v>
      </c>
      <c r="I57" s="1" t="s">
        <v>118</v>
      </c>
      <c r="J57" s="1" t="s">
        <v>33</v>
      </c>
      <c r="K57" s="1" t="s">
        <v>24</v>
      </c>
      <c r="L57" s="1" t="s">
        <v>1028</v>
      </c>
      <c r="M57" s="1" t="s">
        <v>1029</v>
      </c>
      <c r="N57" s="75">
        <v>34700</v>
      </c>
      <c r="O57" s="1" t="s">
        <v>36</v>
      </c>
      <c r="P57" s="1" t="s">
        <v>28</v>
      </c>
      <c r="Q57" s="75">
        <v>45292</v>
      </c>
      <c r="R57" s="75">
        <v>45505</v>
      </c>
      <c r="S57" s="1">
        <v>0</v>
      </c>
      <c r="T57" s="88">
        <v>1300000</v>
      </c>
      <c r="U57" s="89">
        <v>-2389328</v>
      </c>
      <c r="V57" s="87"/>
    </row>
    <row r="58" spans="1:33" s="20" customFormat="1" ht="17.399999999999999" x14ac:dyDescent="0.4">
      <c r="A58" s="105" t="s">
        <v>1324</v>
      </c>
      <c r="B58" s="105" t="str">
        <f t="shared" si="6"/>
        <v>B</v>
      </c>
      <c r="C58" s="1" t="s">
        <v>1088</v>
      </c>
      <c r="D58" s="1" t="s">
        <v>28</v>
      </c>
      <c r="E58" s="1" t="s">
        <v>736</v>
      </c>
      <c r="F58" s="1" t="s">
        <v>31</v>
      </c>
      <c r="G58" s="1" t="s">
        <v>1707</v>
      </c>
      <c r="H58" s="1" t="s">
        <v>1089</v>
      </c>
      <c r="I58" s="1" t="s">
        <v>81</v>
      </c>
      <c r="J58" s="1" t="s">
        <v>33</v>
      </c>
      <c r="K58" s="1" t="s">
        <v>24</v>
      </c>
      <c r="L58" s="1" t="s">
        <v>1031</v>
      </c>
      <c r="M58" s="1" t="s">
        <v>1090</v>
      </c>
      <c r="N58" s="75">
        <v>35977</v>
      </c>
      <c r="O58" s="1" t="s">
        <v>36</v>
      </c>
      <c r="P58" s="1" t="s">
        <v>28</v>
      </c>
      <c r="Q58" s="75">
        <v>45352</v>
      </c>
      <c r="R58" s="75">
        <v>45352</v>
      </c>
      <c r="S58" s="1">
        <v>0</v>
      </c>
      <c r="T58" s="88">
        <v>1300000</v>
      </c>
      <c r="U58" s="89">
        <v>1370000</v>
      </c>
      <c r="V58" s="72"/>
    </row>
    <row r="59" spans="1:33" s="20" customFormat="1" ht="17.399999999999999" customHeight="1" x14ac:dyDescent="0.4">
      <c r="A59" s="105" t="s">
        <v>1324</v>
      </c>
      <c r="B59" s="105" t="str">
        <f t="shared" si="6"/>
        <v>B</v>
      </c>
      <c r="C59" s="1" t="s">
        <v>1170</v>
      </c>
      <c r="D59" s="1" t="s">
        <v>28</v>
      </c>
      <c r="E59" s="1" t="s">
        <v>736</v>
      </c>
      <c r="F59" s="1" t="s">
        <v>31</v>
      </c>
      <c r="G59" s="1" t="s">
        <v>1707</v>
      </c>
      <c r="H59" s="1" t="s">
        <v>1171</v>
      </c>
      <c r="I59" s="1" t="s">
        <v>81</v>
      </c>
      <c r="J59" s="1" t="s">
        <v>55</v>
      </c>
      <c r="K59" s="1" t="s">
        <v>24</v>
      </c>
      <c r="L59" s="1" t="s">
        <v>1172</v>
      </c>
      <c r="M59" s="1" t="s">
        <v>1173</v>
      </c>
      <c r="N59" s="75">
        <v>35977</v>
      </c>
      <c r="O59" s="1" t="s">
        <v>36</v>
      </c>
      <c r="P59" s="1" t="s">
        <v>28</v>
      </c>
      <c r="Q59" s="75">
        <v>45474</v>
      </c>
      <c r="R59" s="75">
        <v>45474</v>
      </c>
      <c r="S59" s="1">
        <v>0</v>
      </c>
      <c r="T59" s="88">
        <v>1400000</v>
      </c>
      <c r="U59" s="89">
        <v>1400000</v>
      </c>
      <c r="V59" s="74"/>
    </row>
    <row r="60" spans="1:33" s="20" customFormat="1" ht="17.399999999999999" x14ac:dyDescent="0.4">
      <c r="A60" s="105" t="s">
        <v>1324</v>
      </c>
      <c r="B60" s="105" t="str">
        <f t="shared" si="6"/>
        <v>B</v>
      </c>
      <c r="C60" s="1" t="s">
        <v>1174</v>
      </c>
      <c r="D60" s="1" t="s">
        <v>28</v>
      </c>
      <c r="E60" s="1" t="s">
        <v>736</v>
      </c>
      <c r="F60" s="1" t="s">
        <v>31</v>
      </c>
      <c r="G60" s="1" t="s">
        <v>1707</v>
      </c>
      <c r="H60" s="1" t="s">
        <v>1175</v>
      </c>
      <c r="I60" s="1" t="s">
        <v>81</v>
      </c>
      <c r="J60" s="1" t="s">
        <v>33</v>
      </c>
      <c r="K60" s="1" t="s">
        <v>24</v>
      </c>
      <c r="L60" s="1" t="s">
        <v>1031</v>
      </c>
      <c r="M60" s="1" t="s">
        <v>1173</v>
      </c>
      <c r="N60" s="75">
        <v>35977</v>
      </c>
      <c r="O60" s="1" t="s">
        <v>36</v>
      </c>
      <c r="P60" s="1" t="s">
        <v>28</v>
      </c>
      <c r="Q60" s="75">
        <v>45474</v>
      </c>
      <c r="R60" s="75">
        <v>45474</v>
      </c>
      <c r="S60" s="1">
        <v>0</v>
      </c>
      <c r="T60" s="88">
        <v>1400000</v>
      </c>
      <c r="U60" s="89">
        <v>1400000</v>
      </c>
      <c r="V60" s="72"/>
    </row>
    <row r="61" spans="1:33" s="20" customFormat="1" ht="17.399999999999999" x14ac:dyDescent="0.4">
      <c r="A61" s="105" t="s">
        <v>1324</v>
      </c>
      <c r="B61" s="105" t="str">
        <f t="shared" ref="B61" si="7">MID(C61,3,1)</f>
        <v>B</v>
      </c>
      <c r="C61" s="1" t="s">
        <v>1176</v>
      </c>
      <c r="D61" s="1" t="s">
        <v>28</v>
      </c>
      <c r="E61" s="1" t="s">
        <v>736</v>
      </c>
      <c r="F61" s="1" t="s">
        <v>31</v>
      </c>
      <c r="G61" s="1" t="s">
        <v>1707</v>
      </c>
      <c r="H61" s="1" t="s">
        <v>1177</v>
      </c>
      <c r="I61" s="1" t="s">
        <v>81</v>
      </c>
      <c r="J61" s="1" t="s">
        <v>33</v>
      </c>
      <c r="K61" s="1" t="s">
        <v>24</v>
      </c>
      <c r="L61" s="1" t="s">
        <v>1024</v>
      </c>
      <c r="M61" s="1" t="s">
        <v>1178</v>
      </c>
      <c r="N61" s="75">
        <v>38353</v>
      </c>
      <c r="O61" s="1" t="s">
        <v>36</v>
      </c>
      <c r="P61" s="1" t="s">
        <v>28</v>
      </c>
      <c r="Q61" s="75">
        <v>45474</v>
      </c>
      <c r="R61" s="75">
        <v>45474</v>
      </c>
      <c r="S61" s="1">
        <v>0</v>
      </c>
      <c r="T61" s="88">
        <v>2500000</v>
      </c>
      <c r="U61" s="89">
        <v>2500000</v>
      </c>
      <c r="V61" s="72"/>
    </row>
    <row r="62" spans="1:33" x14ac:dyDescent="0.4">
      <c r="C62" s="11"/>
      <c r="D62" s="11"/>
      <c r="E62" s="10"/>
      <c r="F62" s="10"/>
      <c r="G62" s="11"/>
      <c r="H62" s="11"/>
      <c r="I62" s="11"/>
      <c r="J62" s="11"/>
      <c r="K62" s="11"/>
      <c r="L62" s="11"/>
      <c r="M62" s="11"/>
      <c r="N62" s="11"/>
      <c r="O62" s="10"/>
      <c r="P62" s="11"/>
      <c r="Q62" s="11"/>
      <c r="R62" s="11"/>
      <c r="S62" s="11"/>
      <c r="T62" s="11"/>
      <c r="U62" s="10"/>
      <c r="V62" s="25"/>
      <c r="W62" s="11"/>
    </row>
    <row r="63" spans="1:33" x14ac:dyDescent="0.4">
      <c r="C63" s="11"/>
      <c r="D63" s="11"/>
      <c r="E63" s="10"/>
      <c r="F63" s="10"/>
      <c r="G63" s="11"/>
      <c r="H63" s="11"/>
      <c r="I63" s="11"/>
      <c r="J63" s="11"/>
      <c r="K63" s="11"/>
      <c r="L63" s="11"/>
      <c r="M63" s="11"/>
      <c r="N63" s="11"/>
      <c r="O63" s="10"/>
      <c r="P63" s="11"/>
      <c r="Q63" s="11"/>
      <c r="R63" s="11"/>
      <c r="S63" s="11"/>
      <c r="T63" s="11"/>
      <c r="U63" s="10"/>
      <c r="V63" s="25"/>
      <c r="W63" s="11"/>
    </row>
    <row r="64" spans="1:33" x14ac:dyDescent="0.4">
      <c r="A64" s="11"/>
      <c r="B64" s="11"/>
      <c r="C64" s="24"/>
      <c r="D64" s="11"/>
      <c r="E64" s="11"/>
      <c r="F64" s="10"/>
      <c r="G64" s="10"/>
      <c r="H64" s="11"/>
      <c r="I64" s="11"/>
      <c r="J64" s="11"/>
      <c r="K64" s="11"/>
      <c r="L64" s="11"/>
      <c r="M64" s="11"/>
      <c r="N64" s="11"/>
      <c r="O64" s="11"/>
      <c r="P64" s="10"/>
      <c r="Q64" s="11"/>
      <c r="R64" s="11"/>
      <c r="S64" s="11"/>
      <c r="T64" s="11"/>
      <c r="U64" s="11"/>
      <c r="V64" s="10"/>
      <c r="W64" s="25"/>
      <c r="X64" s="11"/>
    </row>
    <row r="65" spans="1:24" ht="21" x14ac:dyDescent="0.4">
      <c r="A65" s="11"/>
      <c r="B65" s="11"/>
      <c r="C65" s="33" t="s">
        <v>1769</v>
      </c>
      <c r="D65" s="34"/>
      <c r="E65" s="35"/>
      <c r="F65" s="36"/>
      <c r="G65" s="36"/>
      <c r="H65" s="36"/>
      <c r="I65" s="36"/>
      <c r="J65" s="11"/>
      <c r="K65" s="11"/>
      <c r="L65" s="11"/>
      <c r="M65" s="11"/>
      <c r="N65" s="11"/>
      <c r="O65" s="11"/>
      <c r="P65" s="10"/>
      <c r="Q65" s="11"/>
      <c r="R65" s="11"/>
      <c r="S65" s="11"/>
      <c r="T65" s="11"/>
      <c r="U65" s="11"/>
      <c r="V65" s="10"/>
      <c r="W65" s="25"/>
      <c r="X65" s="11"/>
    </row>
    <row r="66" spans="1:24" ht="17.399999999999999" x14ac:dyDescent="0.4">
      <c r="A66" s="11"/>
      <c r="B66" s="11"/>
      <c r="C66" s="177" t="s">
        <v>1770</v>
      </c>
      <c r="D66" s="110" t="s">
        <v>1315</v>
      </c>
      <c r="E66" s="110">
        <f>COUNTIF($B$5:$B$61,"O")</f>
        <v>15</v>
      </c>
      <c r="F66" s="46" t="s">
        <v>1758</v>
      </c>
      <c r="G66" s="47">
        <f>SUM(COUNTIFS($B$4:$B$61, "O", $I$4:$I$61, "좌식"))</f>
        <v>15</v>
      </c>
      <c r="H66" s="10"/>
      <c r="I66" s="111"/>
      <c r="J66" s="178"/>
      <c r="K66" s="178"/>
      <c r="L66" s="111"/>
      <c r="M66" s="31"/>
      <c r="N66" s="111"/>
      <c r="O66" s="111"/>
      <c r="P66" s="29"/>
      <c r="Q66" s="29"/>
      <c r="R66" s="11"/>
      <c r="S66" s="11"/>
      <c r="T66" s="11"/>
      <c r="U66" s="11"/>
      <c r="V66" s="10"/>
      <c r="W66" s="25"/>
      <c r="X66" s="11"/>
    </row>
    <row r="67" spans="1:24" ht="17.399999999999999" x14ac:dyDescent="0.4">
      <c r="A67" s="11"/>
      <c r="B67" s="11"/>
      <c r="C67" s="168"/>
      <c r="D67" s="160" t="s">
        <v>1314</v>
      </c>
      <c r="E67" s="160">
        <f>COUNTIF($B$4:$B$61,"B")</f>
        <v>27</v>
      </c>
      <c r="F67" s="163" t="s">
        <v>1758</v>
      </c>
      <c r="G67" s="165">
        <f>SUM(COUNTIFS($B$4:$B$61, "B", $I$4:$I$61, "좌식"))</f>
        <v>10</v>
      </c>
      <c r="H67" s="179"/>
      <c r="I67" s="111"/>
      <c r="J67" s="180"/>
      <c r="K67" s="180"/>
      <c r="L67" s="181"/>
      <c r="M67" s="31"/>
      <c r="N67" s="53"/>
      <c r="O67" s="29"/>
      <c r="P67" s="29"/>
      <c r="Q67" s="29"/>
      <c r="R67" s="11"/>
      <c r="S67" s="11"/>
      <c r="T67" s="11"/>
      <c r="U67" s="11"/>
      <c r="V67" s="10"/>
      <c r="W67" s="25"/>
      <c r="X67" s="11"/>
    </row>
    <row r="68" spans="1:24" ht="17.399999999999999" x14ac:dyDescent="0.4">
      <c r="A68" s="11"/>
      <c r="B68" s="11"/>
      <c r="C68" s="29"/>
      <c r="D68" s="161"/>
      <c r="E68" s="161"/>
      <c r="F68" s="164"/>
      <c r="G68" s="166"/>
      <c r="H68" s="179"/>
      <c r="I68" s="111"/>
      <c r="J68" s="180"/>
      <c r="K68" s="180"/>
      <c r="L68" s="181"/>
      <c r="M68" s="31"/>
      <c r="N68" s="29"/>
      <c r="O68" s="29"/>
      <c r="P68" s="29"/>
      <c r="Q68" s="29"/>
      <c r="R68" s="11"/>
      <c r="S68" s="11"/>
      <c r="T68" s="11"/>
      <c r="U68" s="11"/>
      <c r="V68" s="10"/>
      <c r="W68" s="25"/>
      <c r="X68" s="11"/>
    </row>
    <row r="69" spans="1:24" ht="17.399999999999999" x14ac:dyDescent="0.4">
      <c r="A69" s="11"/>
      <c r="B69" s="11"/>
      <c r="C69" s="29"/>
      <c r="D69" s="161"/>
      <c r="E69" s="161"/>
      <c r="F69" s="51" t="s">
        <v>81</v>
      </c>
      <c r="G69" s="52">
        <f>SUM(COUNTIFS($B$4:$B$61, "B", $I$4:$I$61, "입식"))</f>
        <v>8</v>
      </c>
      <c r="H69" s="179"/>
      <c r="I69" s="111"/>
      <c r="J69" s="180"/>
      <c r="K69" s="180"/>
      <c r="L69" s="181"/>
      <c r="M69" s="31"/>
      <c r="N69" s="29"/>
      <c r="O69" s="29"/>
      <c r="P69" s="29"/>
      <c r="Q69" s="29"/>
      <c r="R69" s="11"/>
      <c r="S69" s="11"/>
      <c r="T69" s="11"/>
      <c r="U69" s="11"/>
      <c r="V69" s="10"/>
      <c r="W69" s="25"/>
      <c r="X69" s="11"/>
    </row>
    <row r="70" spans="1:24" ht="17.399999999999999" x14ac:dyDescent="0.4">
      <c r="A70" s="11"/>
      <c r="B70" s="11"/>
      <c r="C70" s="29"/>
      <c r="D70" s="161"/>
      <c r="E70" s="161"/>
      <c r="F70" s="55" t="s">
        <v>1972</v>
      </c>
      <c r="G70" s="56">
        <f>SUM(COUNTIFS($B$4:$B$61, "B", $I$4:$I$61, "핸드리프트"))</f>
        <v>2</v>
      </c>
      <c r="H70" s="179"/>
      <c r="I70" s="10"/>
      <c r="J70" s="29"/>
      <c r="K70" s="29"/>
      <c r="L70" s="29"/>
      <c r="M70" s="31"/>
      <c r="N70" s="29"/>
      <c r="O70" s="29"/>
      <c r="P70" s="29"/>
      <c r="Q70" s="29"/>
      <c r="R70" s="11"/>
      <c r="S70" s="11"/>
      <c r="T70" s="11"/>
      <c r="U70" s="11"/>
      <c r="V70" s="10"/>
      <c r="W70" s="25"/>
      <c r="X70" s="11"/>
    </row>
    <row r="71" spans="1:24" ht="17.399999999999999" x14ac:dyDescent="0.4">
      <c r="A71" s="11"/>
      <c r="B71" s="11"/>
      <c r="C71" s="29"/>
      <c r="D71" s="161"/>
      <c r="E71" s="161"/>
      <c r="F71" s="55" t="s">
        <v>1936</v>
      </c>
      <c r="G71" s="56">
        <f>SUM(COUNTIFS($B$4:$B$61, "B", $I$4:$I$61, "핸드파레트"))</f>
        <v>1</v>
      </c>
      <c r="H71" s="179"/>
      <c r="I71" s="10"/>
      <c r="J71" s="29"/>
      <c r="K71" s="29"/>
      <c r="L71" s="29"/>
      <c r="M71" s="31"/>
      <c r="N71" s="29"/>
      <c r="O71" s="29"/>
      <c r="P71" s="29"/>
      <c r="Q71" s="29"/>
      <c r="R71" s="11"/>
      <c r="S71" s="11"/>
      <c r="T71" s="11"/>
      <c r="U71" s="11"/>
      <c r="V71" s="10"/>
      <c r="W71" s="25"/>
      <c r="X71" s="11"/>
    </row>
    <row r="72" spans="1:24" ht="17.399999999999999" x14ac:dyDescent="0.4">
      <c r="A72" s="11"/>
      <c r="B72" s="11"/>
      <c r="C72" s="29"/>
      <c r="D72" s="161"/>
      <c r="E72" s="161"/>
      <c r="F72" s="55" t="s">
        <v>1823</v>
      </c>
      <c r="G72" s="56">
        <f>SUM(COUNTIFS($B$4:$B$61, "B", $I$4:$I$61, "트랙터"))</f>
        <v>0</v>
      </c>
      <c r="H72" s="179"/>
      <c r="I72" s="10"/>
      <c r="J72" s="29"/>
      <c r="K72" s="29"/>
      <c r="L72" s="29"/>
      <c r="M72" s="31"/>
      <c r="N72" s="29"/>
      <c r="O72" s="29"/>
      <c r="P72" s="29"/>
      <c r="Q72" s="29"/>
      <c r="R72" s="11"/>
      <c r="S72" s="11"/>
      <c r="T72" s="11"/>
      <c r="U72" s="11"/>
      <c r="V72" s="10"/>
      <c r="W72" s="25"/>
      <c r="X72" s="11"/>
    </row>
    <row r="73" spans="1:24" ht="17.399999999999999" x14ac:dyDescent="0.4">
      <c r="A73" s="11"/>
      <c r="B73" s="11"/>
      <c r="C73" s="29"/>
      <c r="D73" s="161"/>
      <c r="E73" s="161"/>
      <c r="F73" s="55" t="s">
        <v>2007</v>
      </c>
      <c r="G73" s="56">
        <f>SUM(COUNTIFS($B$4:$B$61, "B", $I$4:$I$61, "운반"))</f>
        <v>1</v>
      </c>
      <c r="H73" s="179"/>
      <c r="I73" s="10"/>
      <c r="J73" s="29"/>
      <c r="K73" s="29"/>
      <c r="L73" s="29"/>
      <c r="M73" s="31"/>
      <c r="N73" s="29"/>
      <c r="O73" s="29"/>
      <c r="P73" s="29"/>
      <c r="Q73" s="29"/>
      <c r="R73" s="11"/>
      <c r="S73" s="11"/>
      <c r="T73" s="11"/>
      <c r="U73" s="11"/>
      <c r="V73" s="10"/>
      <c r="W73" s="25"/>
      <c r="X73" s="11"/>
    </row>
    <row r="74" spans="1:24" ht="17.399999999999999" x14ac:dyDescent="0.4">
      <c r="A74" s="11"/>
      <c r="B74" s="11"/>
      <c r="C74" s="29"/>
      <c r="D74" s="162"/>
      <c r="E74" s="162"/>
      <c r="F74" s="55" t="s">
        <v>1727</v>
      </c>
      <c r="G74" s="56">
        <f>SUM(COUNTIFS($B$4:$B$61, "B", $I$4:$I$61, "견인"))</f>
        <v>5</v>
      </c>
      <c r="H74" s="179"/>
      <c r="I74" s="10"/>
      <c r="J74" s="180"/>
      <c r="K74" s="180"/>
      <c r="L74" s="112"/>
      <c r="M74" s="31"/>
      <c r="N74" s="29"/>
      <c r="O74" s="29"/>
      <c r="P74" s="29"/>
      <c r="Q74" s="29"/>
      <c r="R74" s="11"/>
      <c r="S74" s="11"/>
      <c r="T74" s="11"/>
      <c r="U74" s="11"/>
      <c r="V74" s="10"/>
      <c r="W74" s="25"/>
      <c r="X74" s="11"/>
    </row>
    <row r="75" spans="1:24" ht="17.399999999999999" x14ac:dyDescent="0.4">
      <c r="A75" s="11"/>
      <c r="B75" s="11"/>
      <c r="C75" s="29"/>
      <c r="D75" s="59" t="s">
        <v>1316</v>
      </c>
      <c r="E75" s="59">
        <f>E66+E67</f>
        <v>42</v>
      </c>
      <c r="F75" s="60"/>
      <c r="G75" s="61">
        <f>SUBTOTAL(9,G66:G74)</f>
        <v>42</v>
      </c>
      <c r="H75" s="111"/>
      <c r="I75" s="29"/>
      <c r="J75" s="29"/>
      <c r="K75" s="113"/>
      <c r="L75" s="29"/>
      <c r="M75" s="31"/>
      <c r="N75" s="29"/>
      <c r="O75" s="29"/>
      <c r="P75" s="29"/>
      <c r="Q75" s="29"/>
      <c r="R75" s="11"/>
      <c r="S75" s="11"/>
      <c r="T75" s="11"/>
      <c r="U75" s="11"/>
      <c r="V75" s="10"/>
      <c r="W75" s="25"/>
      <c r="X75" s="11"/>
    </row>
    <row r="76" spans="1:24" ht="17.399999999999999" x14ac:dyDescent="0.4">
      <c r="A76" s="11"/>
      <c r="B76" s="11"/>
      <c r="C76" s="29"/>
      <c r="D76" s="31"/>
      <c r="E76" s="31"/>
      <c r="F76" s="31"/>
      <c r="G76" s="31"/>
      <c r="H76" s="29"/>
      <c r="I76" s="29"/>
      <c r="J76" s="29"/>
      <c r="K76" s="29"/>
      <c r="L76" s="29"/>
      <c r="M76" s="31"/>
      <c r="N76" s="29"/>
      <c r="O76" s="29"/>
      <c r="P76" s="29"/>
      <c r="Q76" s="63"/>
      <c r="R76" s="11"/>
      <c r="S76" s="11"/>
      <c r="T76" s="11"/>
      <c r="U76" s="11"/>
      <c r="V76" s="10"/>
      <c r="W76" s="25"/>
      <c r="X76" s="11"/>
    </row>
    <row r="77" spans="1:24" ht="17.399999999999999" x14ac:dyDescent="0.4">
      <c r="A77" s="11"/>
      <c r="B77" s="11"/>
      <c r="C77" s="29"/>
      <c r="D77" s="64"/>
      <c r="E77" s="31"/>
      <c r="F77" s="31"/>
      <c r="G77" s="31"/>
      <c r="H77" s="29"/>
      <c r="I77" s="29"/>
      <c r="J77" s="29"/>
      <c r="K77" s="29"/>
      <c r="L77" s="29"/>
      <c r="M77" s="29"/>
      <c r="N77" s="31"/>
      <c r="O77" s="29"/>
      <c r="P77" s="29"/>
      <c r="Q77" s="29"/>
      <c r="R77" s="11"/>
      <c r="S77" s="11"/>
      <c r="T77" s="11"/>
      <c r="U77" s="11"/>
      <c r="V77" s="10"/>
      <c r="W77" s="25"/>
      <c r="X77" s="11"/>
    </row>
    <row r="78" spans="1:24" ht="17.399999999999999" x14ac:dyDescent="0.4">
      <c r="A78" s="11"/>
      <c r="B78" s="11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11"/>
      <c r="S78" s="11"/>
      <c r="T78" s="11"/>
      <c r="U78" s="11"/>
      <c r="V78" s="10"/>
      <c r="W78" s="25"/>
      <c r="X78" s="11"/>
    </row>
    <row r="79" spans="1:24" x14ac:dyDescent="0.4">
      <c r="A79" s="11"/>
      <c r="B79" s="11"/>
      <c r="C79" s="24"/>
      <c r="D79" s="11"/>
      <c r="E79" s="11"/>
      <c r="F79" s="10"/>
      <c r="G79" s="10"/>
      <c r="H79" s="11"/>
      <c r="I79" s="11"/>
      <c r="J79" s="11"/>
      <c r="K79" s="11"/>
      <c r="L79" s="11"/>
      <c r="M79" s="11"/>
      <c r="N79" s="11"/>
      <c r="O79" s="11"/>
      <c r="P79" s="10"/>
      <c r="Q79" s="11"/>
      <c r="R79" s="11"/>
      <c r="S79" s="11"/>
      <c r="T79" s="11"/>
      <c r="U79" s="11"/>
      <c r="V79" s="10"/>
      <c r="W79" s="25"/>
      <c r="X79" s="11"/>
    </row>
    <row r="80" spans="1:24" x14ac:dyDescent="0.4">
      <c r="A80" s="11"/>
      <c r="B80" s="11"/>
      <c r="C80" s="24"/>
      <c r="D80" s="11"/>
      <c r="E80" s="11"/>
      <c r="F80" s="10"/>
      <c r="G80" s="10"/>
      <c r="H80" s="11"/>
      <c r="I80" s="11"/>
      <c r="J80" s="11"/>
      <c r="K80" s="11"/>
      <c r="L80" s="11"/>
      <c r="M80" s="11"/>
      <c r="N80" s="11"/>
      <c r="O80" s="11"/>
      <c r="P80" s="10"/>
      <c r="Q80" s="11"/>
      <c r="R80" s="11"/>
      <c r="S80" s="11"/>
      <c r="T80" s="11"/>
      <c r="U80" s="11"/>
      <c r="V80" s="10"/>
      <c r="W80" s="25"/>
      <c r="X80" s="11"/>
    </row>
    <row r="81" spans="1:24" x14ac:dyDescent="0.4">
      <c r="A81" s="11"/>
      <c r="B81" s="11"/>
      <c r="C81" s="24"/>
      <c r="D81" s="11"/>
      <c r="E81" s="11"/>
      <c r="F81" s="10"/>
      <c r="G81" s="10"/>
      <c r="H81" s="11"/>
      <c r="I81" s="11"/>
      <c r="J81" s="11"/>
      <c r="K81" s="11"/>
      <c r="L81" s="11"/>
      <c r="M81" s="11"/>
      <c r="N81" s="11"/>
      <c r="O81" s="11"/>
      <c r="P81" s="10"/>
      <c r="Q81" s="11"/>
      <c r="R81" s="11"/>
      <c r="S81" s="11"/>
      <c r="T81" s="11"/>
      <c r="U81" s="11"/>
      <c r="V81" s="10"/>
      <c r="W81" s="25"/>
      <c r="X81" s="11"/>
    </row>
    <row r="82" spans="1:24" x14ac:dyDescent="0.4">
      <c r="A82" s="11"/>
      <c r="B82" s="11"/>
      <c r="C82" s="24"/>
      <c r="D82" s="11"/>
      <c r="E82" s="11"/>
      <c r="F82" s="10"/>
      <c r="G82" s="10"/>
      <c r="H82" s="11"/>
      <c r="I82" s="11"/>
      <c r="J82" s="11"/>
      <c r="K82" s="11"/>
      <c r="L82" s="11"/>
      <c r="M82" s="11"/>
      <c r="N82" s="11"/>
      <c r="O82" s="11"/>
      <c r="P82" s="10"/>
      <c r="Q82" s="11"/>
      <c r="R82" s="11"/>
      <c r="S82" s="11"/>
      <c r="T82" s="11"/>
      <c r="U82" s="11"/>
      <c r="V82" s="10"/>
      <c r="W82" s="25"/>
      <c r="X82" s="11"/>
    </row>
    <row r="83" spans="1:24" x14ac:dyDescent="0.4">
      <c r="A83" s="11"/>
      <c r="B83" s="11"/>
      <c r="C83" s="24"/>
      <c r="D83" s="11"/>
      <c r="E83" s="11"/>
      <c r="F83" s="10"/>
      <c r="G83" s="10"/>
      <c r="H83" s="11"/>
      <c r="I83" s="11"/>
      <c r="J83" s="11"/>
      <c r="K83" s="11"/>
      <c r="L83" s="11"/>
      <c r="M83" s="11"/>
      <c r="N83" s="11"/>
      <c r="O83" s="11"/>
      <c r="P83" s="10"/>
      <c r="Q83" s="11"/>
      <c r="R83" s="11"/>
      <c r="S83" s="11"/>
      <c r="T83" s="11"/>
      <c r="U83" s="11"/>
      <c r="V83" s="10"/>
      <c r="W83" s="25"/>
      <c r="X83" s="11"/>
    </row>
    <row r="84" spans="1:24" x14ac:dyDescent="0.4">
      <c r="A84" s="11"/>
      <c r="B84" s="11"/>
      <c r="C84" s="24"/>
      <c r="D84" s="11"/>
      <c r="E84" s="11"/>
      <c r="F84" s="10"/>
      <c r="G84" s="10"/>
      <c r="H84" s="11"/>
      <c r="I84" s="11"/>
      <c r="J84" s="11"/>
      <c r="K84" s="11"/>
      <c r="L84" s="11"/>
      <c r="M84" s="11"/>
      <c r="N84" s="11"/>
      <c r="O84" s="11"/>
      <c r="P84" s="10"/>
      <c r="Q84" s="11"/>
      <c r="R84" s="11"/>
      <c r="S84" s="11"/>
      <c r="T84" s="11"/>
      <c r="U84" s="11"/>
      <c r="V84" s="10"/>
      <c r="W84" s="25"/>
      <c r="X84" s="11"/>
    </row>
    <row r="85" spans="1:24" x14ac:dyDescent="0.4">
      <c r="A85" s="11"/>
      <c r="B85" s="11"/>
      <c r="C85" s="24"/>
      <c r="D85" s="11"/>
      <c r="E85" s="11"/>
      <c r="F85" s="10"/>
      <c r="G85" s="10"/>
      <c r="H85" s="11"/>
      <c r="I85" s="11"/>
      <c r="J85" s="11"/>
      <c r="K85" s="11"/>
      <c r="L85" s="11"/>
      <c r="M85" s="11"/>
      <c r="N85" s="11"/>
      <c r="O85" s="11"/>
      <c r="P85" s="10"/>
      <c r="Q85" s="11"/>
      <c r="R85" s="11"/>
      <c r="S85" s="11"/>
      <c r="T85" s="11"/>
      <c r="U85" s="11"/>
      <c r="V85" s="10"/>
      <c r="W85" s="25"/>
      <c r="X85" s="11"/>
    </row>
    <row r="86" spans="1:24" x14ac:dyDescent="0.4">
      <c r="A86" s="11"/>
      <c r="B86" s="11"/>
      <c r="C86" s="24"/>
      <c r="D86" s="11"/>
      <c r="E86" s="11"/>
      <c r="F86" s="10"/>
      <c r="G86" s="10"/>
      <c r="H86" s="11"/>
      <c r="I86" s="11"/>
      <c r="J86" s="11"/>
      <c r="K86" s="11"/>
      <c r="L86" s="11"/>
      <c r="M86" s="11"/>
      <c r="N86" s="11"/>
      <c r="O86" s="11"/>
      <c r="P86" s="10"/>
      <c r="Q86" s="11"/>
      <c r="R86" s="11"/>
      <c r="S86" s="11"/>
      <c r="T86" s="11"/>
      <c r="U86" s="11"/>
      <c r="V86" s="10"/>
      <c r="W86" s="25"/>
      <c r="X86" s="11"/>
    </row>
    <row r="87" spans="1:24" x14ac:dyDescent="0.4">
      <c r="A87" s="11"/>
      <c r="B87" s="11"/>
      <c r="C87" s="24"/>
      <c r="D87" s="11"/>
      <c r="E87" s="11"/>
      <c r="F87" s="10"/>
      <c r="G87" s="10"/>
      <c r="H87" s="11"/>
      <c r="I87" s="11"/>
      <c r="J87" s="11"/>
      <c r="K87" s="11"/>
      <c r="L87" s="11"/>
      <c r="M87" s="11"/>
      <c r="N87" s="11"/>
      <c r="O87" s="11"/>
      <c r="P87" s="10"/>
      <c r="Q87" s="11"/>
      <c r="R87" s="11"/>
      <c r="S87" s="11"/>
      <c r="T87" s="11"/>
      <c r="U87" s="11"/>
      <c r="V87" s="10"/>
      <c r="W87" s="25"/>
      <c r="X87" s="11"/>
    </row>
    <row r="88" spans="1:24" x14ac:dyDescent="0.4">
      <c r="A88" s="11"/>
      <c r="B88" s="11"/>
      <c r="C88" s="24"/>
      <c r="D88" s="11"/>
      <c r="E88" s="11"/>
      <c r="F88" s="10"/>
      <c r="G88" s="10"/>
      <c r="H88" s="11"/>
      <c r="I88" s="11"/>
      <c r="J88" s="11"/>
      <c r="K88" s="11"/>
      <c r="L88" s="11"/>
      <c r="M88" s="11"/>
      <c r="N88" s="11"/>
      <c r="O88" s="11"/>
      <c r="P88" s="10"/>
      <c r="Q88" s="11"/>
      <c r="R88" s="11"/>
      <c r="S88" s="11"/>
      <c r="T88" s="11"/>
      <c r="U88" s="11"/>
      <c r="V88" s="10"/>
      <c r="W88" s="25"/>
      <c r="X88" s="11"/>
    </row>
    <row r="89" spans="1:24" x14ac:dyDescent="0.4">
      <c r="A89" s="11"/>
      <c r="B89" s="11"/>
      <c r="C89" s="24"/>
      <c r="D89" s="11"/>
      <c r="E89" s="11"/>
      <c r="F89" s="10"/>
      <c r="G89" s="10"/>
      <c r="H89" s="11"/>
      <c r="I89" s="11"/>
      <c r="J89" s="11"/>
      <c r="K89" s="11"/>
      <c r="L89" s="11"/>
      <c r="M89" s="11"/>
      <c r="N89" s="11"/>
      <c r="O89" s="11"/>
      <c r="P89" s="10"/>
      <c r="Q89" s="11"/>
      <c r="R89" s="11"/>
      <c r="S89" s="11"/>
      <c r="T89" s="11"/>
      <c r="U89" s="11"/>
      <c r="V89" s="10"/>
      <c r="W89" s="25"/>
      <c r="X89" s="11"/>
    </row>
    <row r="90" spans="1:24" x14ac:dyDescent="0.4">
      <c r="A90" s="11"/>
      <c r="B90" s="11"/>
      <c r="C90" s="24"/>
      <c r="D90" s="11"/>
      <c r="E90" s="11"/>
      <c r="F90" s="10"/>
      <c r="G90" s="10"/>
      <c r="H90" s="11"/>
      <c r="I90" s="11"/>
      <c r="J90" s="11"/>
      <c r="K90" s="11"/>
      <c r="L90" s="11"/>
      <c r="M90" s="11"/>
      <c r="N90" s="11"/>
      <c r="O90" s="11"/>
      <c r="P90" s="10"/>
      <c r="Q90" s="11"/>
      <c r="R90" s="11"/>
      <c r="S90" s="11"/>
      <c r="T90" s="11"/>
      <c r="U90" s="11"/>
      <c r="V90" s="10"/>
      <c r="W90" s="25"/>
      <c r="X90" s="11"/>
    </row>
    <row r="91" spans="1:24" x14ac:dyDescent="0.4">
      <c r="A91" s="11"/>
      <c r="B91" s="11"/>
      <c r="C91" s="24"/>
      <c r="D91" s="11"/>
      <c r="E91" s="11"/>
      <c r="F91" s="10"/>
      <c r="G91" s="10"/>
      <c r="H91" s="11"/>
      <c r="I91" s="11"/>
      <c r="J91" s="11"/>
      <c r="K91" s="11"/>
      <c r="L91" s="11"/>
      <c r="M91" s="11"/>
      <c r="N91" s="11"/>
      <c r="O91" s="11"/>
      <c r="P91" s="10"/>
      <c r="Q91" s="11"/>
      <c r="R91" s="11"/>
      <c r="S91" s="11"/>
      <c r="T91" s="11"/>
      <c r="U91" s="11"/>
      <c r="V91" s="10"/>
      <c r="W91" s="25"/>
      <c r="X91" s="11"/>
    </row>
    <row r="92" spans="1:24" x14ac:dyDescent="0.4">
      <c r="A92" s="11"/>
      <c r="B92" s="11"/>
      <c r="C92" s="24"/>
      <c r="D92" s="11"/>
      <c r="E92" s="11"/>
      <c r="F92" s="10"/>
      <c r="G92" s="10"/>
      <c r="H92" s="11"/>
      <c r="I92" s="11"/>
      <c r="J92" s="11"/>
      <c r="K92" s="11"/>
      <c r="L92" s="11"/>
      <c r="M92" s="11"/>
      <c r="N92" s="11"/>
      <c r="O92" s="11"/>
      <c r="P92" s="10"/>
      <c r="Q92" s="11"/>
      <c r="R92" s="11"/>
      <c r="S92" s="11"/>
      <c r="T92" s="11"/>
      <c r="U92" s="11"/>
      <c r="V92" s="10"/>
      <c r="W92" s="25"/>
      <c r="X92" s="11"/>
    </row>
    <row r="93" spans="1:24" x14ac:dyDescent="0.4">
      <c r="C93" s="11"/>
      <c r="D93" s="11"/>
      <c r="E93" s="10"/>
      <c r="F93" s="10"/>
      <c r="G93" s="11"/>
      <c r="H93" s="11"/>
      <c r="I93" s="11"/>
      <c r="J93" s="11"/>
      <c r="K93" s="11"/>
      <c r="L93" s="11"/>
      <c r="M93" s="11"/>
      <c r="N93" s="11"/>
      <c r="O93" s="10"/>
      <c r="P93" s="11"/>
      <c r="Q93" s="11"/>
      <c r="R93" s="11"/>
      <c r="S93" s="11"/>
      <c r="T93" s="11"/>
      <c r="U93" s="10"/>
      <c r="V93" s="25"/>
      <c r="W93" s="11"/>
    </row>
    <row r="94" spans="1:24" x14ac:dyDescent="0.4">
      <c r="C94" s="11"/>
      <c r="D94" s="11"/>
      <c r="E94" s="10"/>
      <c r="F94" s="10"/>
      <c r="G94" s="11"/>
      <c r="H94" s="11"/>
      <c r="I94" s="11"/>
      <c r="J94" s="11"/>
      <c r="K94" s="11"/>
      <c r="L94" s="11"/>
      <c r="M94" s="11"/>
      <c r="N94" s="11"/>
      <c r="O94" s="10"/>
      <c r="P94" s="11"/>
      <c r="Q94" s="11"/>
      <c r="R94" s="11"/>
      <c r="S94" s="11"/>
      <c r="T94" s="11"/>
      <c r="U94" s="10"/>
      <c r="V94" s="25"/>
      <c r="W94" s="11"/>
    </row>
    <row r="95" spans="1:24" x14ac:dyDescent="0.4">
      <c r="C95" s="11"/>
      <c r="D95" s="11"/>
      <c r="E95" s="10"/>
      <c r="F95" s="10"/>
      <c r="G95" s="11"/>
      <c r="H95" s="11"/>
      <c r="I95" s="11"/>
      <c r="J95" s="11"/>
      <c r="K95" s="11"/>
      <c r="L95" s="11"/>
      <c r="M95" s="11"/>
      <c r="N95" s="11"/>
      <c r="O95" s="10"/>
      <c r="P95" s="11"/>
      <c r="Q95" s="11"/>
      <c r="R95" s="11"/>
      <c r="S95" s="11"/>
      <c r="T95" s="11"/>
      <c r="U95" s="10"/>
      <c r="V95" s="25"/>
      <c r="W95" s="11"/>
    </row>
    <row r="96" spans="1:24" x14ac:dyDescent="0.4">
      <c r="C96" s="11"/>
      <c r="D96" s="11"/>
      <c r="E96" s="10"/>
      <c r="F96" s="10"/>
      <c r="G96" s="11"/>
      <c r="H96" s="11"/>
      <c r="I96" s="11"/>
      <c r="J96" s="11"/>
      <c r="K96" s="11"/>
      <c r="L96" s="11"/>
      <c r="M96" s="11"/>
      <c r="N96" s="11"/>
      <c r="O96" s="10"/>
      <c r="P96" s="11"/>
      <c r="Q96" s="11"/>
      <c r="R96" s="11"/>
      <c r="S96" s="11"/>
      <c r="T96" s="11"/>
      <c r="U96" s="10"/>
      <c r="V96" s="25"/>
      <c r="W96" s="11"/>
    </row>
    <row r="97" spans="3:23" x14ac:dyDescent="0.4">
      <c r="C97" s="11"/>
      <c r="D97" s="11"/>
      <c r="E97" s="10"/>
      <c r="F97" s="10"/>
      <c r="G97" s="11"/>
      <c r="H97" s="11"/>
      <c r="I97" s="11"/>
      <c r="J97" s="11"/>
      <c r="K97" s="11"/>
      <c r="L97" s="11"/>
      <c r="M97" s="11"/>
      <c r="N97" s="11"/>
      <c r="O97" s="10"/>
      <c r="P97" s="11"/>
      <c r="Q97" s="11"/>
      <c r="R97" s="11"/>
      <c r="S97" s="11"/>
      <c r="T97" s="11"/>
      <c r="U97" s="10"/>
      <c r="V97" s="25"/>
      <c r="W97" s="11"/>
    </row>
    <row r="98" spans="3:23" x14ac:dyDescent="0.4">
      <c r="C98" s="11"/>
      <c r="D98" s="11"/>
      <c r="E98" s="10"/>
      <c r="F98" s="10"/>
      <c r="G98" s="11"/>
      <c r="H98" s="11"/>
      <c r="I98" s="11"/>
      <c r="J98" s="11"/>
      <c r="K98" s="11"/>
      <c r="L98" s="11"/>
      <c r="M98" s="11"/>
      <c r="N98" s="11"/>
      <c r="O98" s="10"/>
      <c r="P98" s="11"/>
      <c r="Q98" s="11"/>
      <c r="R98" s="11"/>
      <c r="S98" s="11"/>
      <c r="T98" s="11"/>
      <c r="U98" s="10"/>
      <c r="V98" s="25"/>
      <c r="W98" s="11"/>
    </row>
    <row r="99" spans="3:23" x14ac:dyDescent="0.4">
      <c r="C99" s="11"/>
      <c r="D99" s="11"/>
      <c r="E99" s="10"/>
      <c r="F99" s="10"/>
      <c r="G99" s="11"/>
      <c r="H99" s="11"/>
      <c r="I99" s="11"/>
      <c r="J99" s="11"/>
      <c r="K99" s="11"/>
      <c r="L99" s="11"/>
      <c r="M99" s="11"/>
      <c r="N99" s="11"/>
      <c r="O99" s="10"/>
      <c r="P99" s="11"/>
      <c r="Q99" s="11"/>
      <c r="R99" s="11"/>
      <c r="S99" s="11"/>
      <c r="T99" s="11"/>
      <c r="U99" s="10"/>
      <c r="V99" s="25"/>
      <c r="W99" s="11"/>
    </row>
    <row r="100" spans="3:23" x14ac:dyDescent="0.4">
      <c r="C100" s="11"/>
      <c r="D100" s="11"/>
      <c r="E100" s="10"/>
      <c r="F100" s="10"/>
      <c r="G100" s="11"/>
      <c r="H100" s="11"/>
      <c r="I100" s="11"/>
      <c r="J100" s="11"/>
      <c r="K100" s="11"/>
      <c r="L100" s="11"/>
      <c r="M100" s="11"/>
      <c r="N100" s="11"/>
      <c r="O100" s="10"/>
      <c r="P100" s="11"/>
      <c r="Q100" s="11"/>
      <c r="R100" s="11"/>
      <c r="S100" s="11"/>
      <c r="T100" s="11"/>
      <c r="U100" s="10"/>
      <c r="V100" s="25"/>
      <c r="W100" s="11"/>
    </row>
    <row r="101" spans="3:23" x14ac:dyDescent="0.4">
      <c r="C101" s="11"/>
      <c r="D101" s="11"/>
      <c r="E101" s="10"/>
      <c r="F101" s="10"/>
      <c r="G101" s="11"/>
      <c r="H101" s="11"/>
      <c r="I101" s="11"/>
      <c r="J101" s="11"/>
      <c r="K101" s="11"/>
      <c r="L101" s="11"/>
      <c r="M101" s="11"/>
      <c r="N101" s="11"/>
      <c r="O101" s="10"/>
      <c r="P101" s="11"/>
      <c r="Q101" s="11"/>
      <c r="R101" s="11"/>
      <c r="S101" s="11"/>
      <c r="T101" s="11"/>
      <c r="U101" s="10"/>
      <c r="V101" s="25"/>
      <c r="W101" s="11"/>
    </row>
    <row r="102" spans="3:23" x14ac:dyDescent="0.4">
      <c r="C102" s="11"/>
      <c r="D102" s="11"/>
      <c r="E102" s="10"/>
      <c r="F102" s="10"/>
      <c r="G102" s="11"/>
      <c r="H102" s="11"/>
      <c r="I102" s="11"/>
      <c r="J102" s="11"/>
      <c r="K102" s="11"/>
      <c r="L102" s="11"/>
      <c r="M102" s="11"/>
      <c r="N102" s="11"/>
      <c r="O102" s="10"/>
      <c r="P102" s="11"/>
      <c r="Q102" s="11"/>
      <c r="R102" s="11"/>
      <c r="S102" s="11"/>
      <c r="T102" s="11"/>
      <c r="U102" s="10"/>
      <c r="V102" s="25"/>
      <c r="W102" s="11"/>
    </row>
    <row r="103" spans="3:23" x14ac:dyDescent="0.4">
      <c r="C103" s="11"/>
      <c r="D103" s="11"/>
      <c r="E103" s="10"/>
      <c r="F103" s="10"/>
      <c r="G103" s="11"/>
      <c r="H103" s="11"/>
      <c r="I103" s="11"/>
      <c r="J103" s="11"/>
      <c r="K103" s="11"/>
      <c r="L103" s="11"/>
      <c r="M103" s="11"/>
      <c r="N103" s="11"/>
      <c r="O103" s="10"/>
      <c r="P103" s="11"/>
      <c r="Q103" s="11"/>
      <c r="R103" s="11"/>
      <c r="S103" s="11"/>
      <c r="T103" s="11"/>
      <c r="U103" s="10"/>
      <c r="V103" s="25"/>
      <c r="W103" s="11"/>
    </row>
    <row r="104" spans="3:23" x14ac:dyDescent="0.4">
      <c r="C104" s="11"/>
      <c r="D104" s="11"/>
      <c r="E104" s="10"/>
      <c r="F104" s="10"/>
      <c r="G104" s="11"/>
      <c r="H104" s="11"/>
      <c r="I104" s="11"/>
      <c r="J104" s="11"/>
      <c r="K104" s="11"/>
      <c r="L104" s="11"/>
      <c r="M104" s="11"/>
      <c r="N104" s="11"/>
      <c r="O104" s="10"/>
      <c r="P104" s="11"/>
      <c r="Q104" s="11"/>
      <c r="R104" s="11"/>
      <c r="S104" s="11"/>
      <c r="T104" s="11"/>
      <c r="U104" s="10"/>
      <c r="V104" s="25"/>
      <c r="W104" s="11"/>
    </row>
    <row r="105" spans="3:23" x14ac:dyDescent="0.4">
      <c r="C105" s="11"/>
      <c r="D105" s="11"/>
      <c r="E105" s="10"/>
      <c r="F105" s="10"/>
      <c r="G105" s="11"/>
      <c r="H105" s="11"/>
      <c r="I105" s="11"/>
      <c r="J105" s="11"/>
      <c r="K105" s="11"/>
      <c r="L105" s="11"/>
      <c r="M105" s="11"/>
      <c r="N105" s="11"/>
      <c r="O105" s="10"/>
      <c r="P105" s="11"/>
      <c r="Q105" s="11"/>
      <c r="R105" s="11"/>
      <c r="S105" s="11"/>
      <c r="T105" s="11"/>
      <c r="U105" s="10"/>
      <c r="V105" s="25"/>
      <c r="W105" s="11"/>
    </row>
    <row r="106" spans="3:23" x14ac:dyDescent="0.4">
      <c r="C106" s="11"/>
      <c r="D106" s="11"/>
      <c r="E106" s="10"/>
      <c r="F106" s="10"/>
      <c r="G106" s="11"/>
      <c r="H106" s="11"/>
      <c r="I106" s="11"/>
      <c r="J106" s="11"/>
      <c r="K106" s="11"/>
      <c r="L106" s="11"/>
      <c r="M106" s="11"/>
      <c r="N106" s="11"/>
      <c r="O106" s="10"/>
      <c r="P106" s="11"/>
      <c r="Q106" s="11"/>
      <c r="R106" s="11"/>
      <c r="S106" s="11"/>
      <c r="T106" s="11"/>
      <c r="U106" s="10"/>
      <c r="V106" s="25"/>
      <c r="W106" s="11"/>
    </row>
    <row r="107" spans="3:23" x14ac:dyDescent="0.4">
      <c r="C107" s="11"/>
      <c r="D107" s="11"/>
      <c r="E107" s="10"/>
      <c r="F107" s="10"/>
      <c r="G107" s="11"/>
      <c r="H107" s="11"/>
      <c r="I107" s="11"/>
      <c r="J107" s="11"/>
      <c r="K107" s="11"/>
      <c r="L107" s="11"/>
      <c r="M107" s="11"/>
      <c r="N107" s="11"/>
      <c r="O107" s="10"/>
      <c r="P107" s="11"/>
      <c r="Q107" s="11"/>
      <c r="R107" s="11"/>
      <c r="S107" s="11"/>
      <c r="T107" s="11"/>
      <c r="U107" s="10"/>
      <c r="V107" s="25"/>
      <c r="W107" s="11"/>
    </row>
    <row r="108" spans="3:23" x14ac:dyDescent="0.4">
      <c r="C108" s="11"/>
      <c r="D108" s="11"/>
      <c r="E108" s="10"/>
      <c r="F108" s="10"/>
      <c r="G108" s="11"/>
      <c r="H108" s="11"/>
      <c r="I108" s="11"/>
      <c r="J108" s="11"/>
      <c r="K108" s="11"/>
      <c r="L108" s="11"/>
      <c r="M108" s="11"/>
      <c r="N108" s="11"/>
      <c r="O108" s="10"/>
      <c r="P108" s="11"/>
      <c r="Q108" s="11"/>
      <c r="R108" s="11"/>
      <c r="S108" s="11"/>
      <c r="T108" s="11"/>
      <c r="U108" s="10"/>
      <c r="V108" s="25"/>
      <c r="W108" s="11"/>
    </row>
    <row r="109" spans="3:23" x14ac:dyDescent="0.4">
      <c r="C109" s="11"/>
      <c r="D109" s="11"/>
      <c r="E109" s="10"/>
      <c r="F109" s="10"/>
      <c r="G109" s="11"/>
      <c r="H109" s="11"/>
      <c r="I109" s="11"/>
      <c r="J109" s="11"/>
      <c r="K109" s="11"/>
      <c r="L109" s="11"/>
      <c r="M109" s="11"/>
      <c r="N109" s="11"/>
      <c r="O109" s="10"/>
      <c r="P109" s="11"/>
      <c r="Q109" s="11"/>
      <c r="R109" s="11"/>
      <c r="S109" s="11"/>
      <c r="T109" s="11"/>
      <c r="U109" s="10"/>
      <c r="V109" s="25"/>
      <c r="W109" s="11"/>
    </row>
    <row r="110" spans="3:23" x14ac:dyDescent="0.4">
      <c r="C110" s="11"/>
      <c r="D110" s="11"/>
      <c r="E110" s="10"/>
      <c r="F110" s="10"/>
      <c r="G110" s="11"/>
      <c r="H110" s="11"/>
      <c r="I110" s="11"/>
      <c r="J110" s="11"/>
      <c r="K110" s="11"/>
      <c r="L110" s="11"/>
      <c r="M110" s="11"/>
      <c r="N110" s="11"/>
      <c r="O110" s="10"/>
      <c r="P110" s="11"/>
      <c r="Q110" s="11"/>
      <c r="R110" s="11"/>
      <c r="S110" s="11"/>
      <c r="T110" s="11"/>
      <c r="U110" s="10"/>
      <c r="V110" s="25"/>
      <c r="W110" s="11"/>
    </row>
    <row r="111" spans="3:23" x14ac:dyDescent="0.4">
      <c r="C111" s="11"/>
      <c r="D111" s="11"/>
      <c r="E111" s="10"/>
      <c r="F111" s="10"/>
      <c r="G111" s="11"/>
      <c r="H111" s="11"/>
      <c r="I111" s="11"/>
      <c r="J111" s="11"/>
      <c r="K111" s="11"/>
      <c r="L111" s="11"/>
      <c r="M111" s="11"/>
      <c r="N111" s="11"/>
      <c r="O111" s="10"/>
      <c r="P111" s="11"/>
      <c r="Q111" s="11"/>
      <c r="R111" s="11"/>
      <c r="S111" s="11"/>
      <c r="T111" s="11"/>
      <c r="U111" s="10"/>
      <c r="V111" s="25"/>
      <c r="W111" s="11"/>
    </row>
    <row r="112" spans="3:23" x14ac:dyDescent="0.4">
      <c r="C112" s="11"/>
      <c r="D112" s="11"/>
      <c r="E112" s="10"/>
      <c r="F112" s="10"/>
      <c r="G112" s="11"/>
      <c r="H112" s="11"/>
      <c r="I112" s="11"/>
      <c r="J112" s="11"/>
      <c r="K112" s="11"/>
      <c r="L112" s="11"/>
      <c r="M112" s="11"/>
      <c r="N112" s="11"/>
      <c r="O112" s="10"/>
      <c r="P112" s="11"/>
      <c r="Q112" s="11"/>
      <c r="R112" s="11"/>
      <c r="S112" s="11"/>
      <c r="T112" s="11"/>
      <c r="U112" s="10"/>
      <c r="V112" s="25"/>
      <c r="W112" s="11"/>
    </row>
    <row r="113" spans="3:23" x14ac:dyDescent="0.4">
      <c r="C113" s="11"/>
      <c r="D113" s="11"/>
      <c r="E113" s="10"/>
      <c r="F113" s="10"/>
      <c r="G113" s="11"/>
      <c r="H113" s="11"/>
      <c r="I113" s="11"/>
      <c r="J113" s="11"/>
      <c r="K113" s="11"/>
      <c r="L113" s="11"/>
      <c r="M113" s="11"/>
      <c r="N113" s="11"/>
      <c r="O113" s="10"/>
      <c r="P113" s="11"/>
      <c r="Q113" s="11"/>
      <c r="R113" s="11"/>
      <c r="S113" s="11"/>
      <c r="T113" s="11"/>
      <c r="U113" s="10"/>
      <c r="V113" s="25"/>
      <c r="W113" s="11"/>
    </row>
    <row r="114" spans="3:23" x14ac:dyDescent="0.4">
      <c r="C114" s="11"/>
      <c r="D114" s="11"/>
      <c r="E114" s="10"/>
      <c r="F114" s="10"/>
      <c r="G114" s="11"/>
      <c r="H114" s="11"/>
      <c r="I114" s="11"/>
      <c r="J114" s="11"/>
      <c r="K114" s="11"/>
      <c r="L114" s="11"/>
      <c r="M114" s="11"/>
      <c r="N114" s="11"/>
      <c r="O114" s="10"/>
      <c r="P114" s="11"/>
      <c r="Q114" s="11"/>
      <c r="R114" s="11"/>
      <c r="S114" s="11"/>
      <c r="T114" s="11"/>
      <c r="U114" s="10"/>
      <c r="V114" s="25"/>
      <c r="W114" s="11"/>
    </row>
    <row r="115" spans="3:23" x14ac:dyDescent="0.4">
      <c r="C115" s="11"/>
      <c r="D115" s="11"/>
      <c r="E115" s="10"/>
      <c r="F115" s="10"/>
      <c r="G115" s="11"/>
      <c r="H115" s="11"/>
      <c r="I115" s="11"/>
      <c r="J115" s="11"/>
      <c r="K115" s="11"/>
      <c r="L115" s="11"/>
      <c r="M115" s="11"/>
      <c r="N115" s="11"/>
      <c r="O115" s="10"/>
      <c r="P115" s="11"/>
      <c r="Q115" s="11"/>
      <c r="R115" s="11"/>
      <c r="S115" s="11"/>
      <c r="T115" s="11"/>
      <c r="U115" s="10"/>
      <c r="V115" s="25"/>
      <c r="W115" s="11"/>
    </row>
    <row r="116" spans="3:23" x14ac:dyDescent="0.4">
      <c r="C116" s="11"/>
      <c r="D116" s="11"/>
      <c r="E116" s="10"/>
      <c r="F116" s="10"/>
      <c r="G116" s="11"/>
      <c r="H116" s="11"/>
      <c r="I116" s="11"/>
      <c r="J116" s="11"/>
      <c r="K116" s="11"/>
      <c r="L116" s="11"/>
      <c r="M116" s="11"/>
      <c r="N116" s="11"/>
      <c r="O116" s="10"/>
      <c r="P116" s="11"/>
      <c r="Q116" s="11"/>
      <c r="R116" s="11"/>
      <c r="S116" s="11"/>
      <c r="T116" s="11"/>
      <c r="U116" s="10"/>
      <c r="V116" s="25"/>
      <c r="W116" s="11"/>
    </row>
    <row r="117" spans="3:23" x14ac:dyDescent="0.4">
      <c r="C117" s="11"/>
      <c r="D117" s="11"/>
      <c r="E117" s="10"/>
      <c r="F117" s="10"/>
      <c r="G117" s="11"/>
      <c r="H117" s="11"/>
      <c r="I117" s="11"/>
      <c r="J117" s="11"/>
      <c r="K117" s="11"/>
      <c r="L117" s="11"/>
      <c r="M117" s="11"/>
      <c r="N117" s="11"/>
      <c r="O117" s="10"/>
      <c r="P117" s="11"/>
      <c r="Q117" s="11"/>
      <c r="R117" s="11"/>
      <c r="S117" s="11"/>
      <c r="T117" s="11"/>
      <c r="U117" s="10"/>
      <c r="V117" s="25"/>
      <c r="W117" s="11"/>
    </row>
    <row r="118" spans="3:23" x14ac:dyDescent="0.4">
      <c r="C118" s="11"/>
      <c r="D118" s="11"/>
      <c r="E118" s="10"/>
      <c r="F118" s="10"/>
      <c r="G118" s="11"/>
      <c r="H118" s="11"/>
      <c r="I118" s="11"/>
      <c r="J118" s="11"/>
      <c r="K118" s="11"/>
      <c r="L118" s="11"/>
      <c r="M118" s="11"/>
      <c r="N118" s="11"/>
      <c r="O118" s="10"/>
      <c r="P118" s="11"/>
      <c r="Q118" s="11"/>
      <c r="R118" s="11"/>
      <c r="S118" s="11"/>
      <c r="T118" s="11"/>
      <c r="U118" s="10"/>
      <c r="V118" s="25"/>
      <c r="W118" s="11"/>
    </row>
    <row r="119" spans="3:23" x14ac:dyDescent="0.4">
      <c r="C119" s="11"/>
      <c r="D119" s="11"/>
      <c r="E119" s="10"/>
      <c r="F119" s="10"/>
      <c r="G119" s="11"/>
      <c r="H119" s="11"/>
      <c r="I119" s="11"/>
      <c r="J119" s="11"/>
      <c r="K119" s="11"/>
      <c r="L119" s="11"/>
      <c r="M119" s="11"/>
      <c r="N119" s="11"/>
      <c r="O119" s="10"/>
      <c r="P119" s="11"/>
      <c r="Q119" s="11"/>
      <c r="R119" s="11"/>
      <c r="S119" s="11"/>
      <c r="T119" s="11"/>
      <c r="U119" s="10"/>
      <c r="V119" s="25"/>
      <c r="W119" s="11"/>
    </row>
    <row r="120" spans="3:23" x14ac:dyDescent="0.4">
      <c r="C120" s="11"/>
      <c r="D120" s="11"/>
      <c r="E120" s="10"/>
      <c r="F120" s="10"/>
      <c r="G120" s="11"/>
      <c r="H120" s="11"/>
      <c r="I120" s="11"/>
      <c r="J120" s="11"/>
      <c r="K120" s="11"/>
      <c r="L120" s="11"/>
      <c r="M120" s="11"/>
      <c r="N120" s="11"/>
      <c r="O120" s="10"/>
      <c r="P120" s="11"/>
      <c r="Q120" s="11"/>
      <c r="R120" s="11"/>
      <c r="S120" s="11"/>
      <c r="T120" s="11"/>
      <c r="U120" s="10"/>
      <c r="V120" s="25"/>
      <c r="W120" s="11"/>
    </row>
    <row r="121" spans="3:23" x14ac:dyDescent="0.4">
      <c r="C121" s="11"/>
      <c r="D121" s="11"/>
      <c r="E121" s="10"/>
      <c r="F121" s="10"/>
      <c r="G121" s="11"/>
      <c r="H121" s="11"/>
      <c r="I121" s="11"/>
      <c r="J121" s="11"/>
      <c r="K121" s="11"/>
      <c r="L121" s="11"/>
      <c r="M121" s="11"/>
      <c r="N121" s="11"/>
      <c r="O121" s="10"/>
      <c r="P121" s="11"/>
      <c r="Q121" s="11"/>
      <c r="R121" s="11"/>
      <c r="S121" s="11"/>
      <c r="T121" s="11"/>
      <c r="U121" s="10"/>
      <c r="V121" s="25"/>
      <c r="W121" s="11"/>
    </row>
    <row r="122" spans="3:23" x14ac:dyDescent="0.4">
      <c r="C122" s="11"/>
      <c r="D122" s="11"/>
      <c r="E122" s="10"/>
      <c r="F122" s="10"/>
      <c r="G122" s="11"/>
      <c r="H122" s="11"/>
      <c r="I122" s="11"/>
      <c r="J122" s="11"/>
      <c r="K122" s="11"/>
      <c r="L122" s="11"/>
      <c r="M122" s="11"/>
      <c r="N122" s="11"/>
      <c r="O122" s="10"/>
      <c r="P122" s="11"/>
      <c r="Q122" s="11"/>
      <c r="R122" s="11"/>
      <c r="S122" s="11"/>
      <c r="T122" s="11"/>
      <c r="U122" s="10"/>
      <c r="V122" s="25"/>
      <c r="W122" s="11"/>
    </row>
    <row r="123" spans="3:23" x14ac:dyDescent="0.4">
      <c r="C123" s="11"/>
      <c r="D123" s="11"/>
      <c r="E123" s="10"/>
      <c r="F123" s="10"/>
      <c r="G123" s="11"/>
      <c r="H123" s="11"/>
      <c r="I123" s="11"/>
      <c r="J123" s="11"/>
      <c r="K123" s="11"/>
      <c r="L123" s="11"/>
      <c r="M123" s="11"/>
      <c r="N123" s="11"/>
      <c r="O123" s="10"/>
      <c r="P123" s="11"/>
      <c r="Q123" s="11"/>
      <c r="R123" s="11"/>
      <c r="S123" s="11"/>
      <c r="T123" s="11"/>
      <c r="U123" s="10"/>
      <c r="V123" s="25"/>
      <c r="W123" s="11"/>
    </row>
    <row r="124" spans="3:23" x14ac:dyDescent="0.4">
      <c r="C124" s="11"/>
      <c r="D124" s="11"/>
      <c r="E124" s="10"/>
      <c r="F124" s="10"/>
      <c r="G124" s="11"/>
      <c r="H124" s="11"/>
      <c r="I124" s="11"/>
      <c r="J124" s="11"/>
      <c r="K124" s="11"/>
      <c r="L124" s="11"/>
      <c r="M124" s="11"/>
      <c r="N124" s="11"/>
      <c r="O124" s="10"/>
      <c r="P124" s="11"/>
      <c r="Q124" s="11"/>
      <c r="R124" s="11"/>
      <c r="S124" s="11"/>
      <c r="T124" s="11"/>
      <c r="U124" s="10"/>
      <c r="V124" s="25"/>
      <c r="W124" s="11"/>
    </row>
    <row r="125" spans="3:23" x14ac:dyDescent="0.4">
      <c r="C125" s="11"/>
      <c r="D125" s="11"/>
      <c r="E125" s="10"/>
      <c r="F125" s="10"/>
      <c r="G125" s="11"/>
      <c r="H125" s="11"/>
      <c r="I125" s="11"/>
      <c r="J125" s="11"/>
      <c r="K125" s="11"/>
      <c r="L125" s="11"/>
      <c r="M125" s="11"/>
      <c r="N125" s="11"/>
      <c r="O125" s="10"/>
      <c r="P125" s="11"/>
      <c r="Q125" s="11"/>
      <c r="R125" s="11"/>
      <c r="S125" s="11"/>
      <c r="T125" s="11"/>
      <c r="U125" s="10"/>
      <c r="V125" s="25"/>
      <c r="W125" s="11"/>
    </row>
    <row r="126" spans="3:23" x14ac:dyDescent="0.4">
      <c r="C126" s="11"/>
      <c r="D126" s="11"/>
      <c r="E126" s="10"/>
      <c r="F126" s="10"/>
      <c r="G126" s="11"/>
      <c r="H126" s="11"/>
      <c r="I126" s="11"/>
      <c r="J126" s="11"/>
      <c r="K126" s="11"/>
      <c r="L126" s="11"/>
      <c r="M126" s="11"/>
      <c r="N126" s="11"/>
      <c r="O126" s="10"/>
      <c r="P126" s="11"/>
      <c r="Q126" s="11"/>
      <c r="R126" s="11"/>
      <c r="S126" s="11"/>
      <c r="T126" s="11"/>
      <c r="U126" s="10"/>
      <c r="V126" s="25"/>
      <c r="W126" s="11"/>
    </row>
    <row r="127" spans="3:23" x14ac:dyDescent="0.4">
      <c r="C127" s="11"/>
      <c r="D127" s="11"/>
      <c r="E127" s="10"/>
      <c r="F127" s="10"/>
      <c r="G127" s="11"/>
      <c r="H127" s="11"/>
      <c r="I127" s="11"/>
      <c r="J127" s="11"/>
      <c r="K127" s="11"/>
      <c r="L127" s="11"/>
      <c r="M127" s="11"/>
      <c r="N127" s="11"/>
      <c r="O127" s="10"/>
      <c r="P127" s="11"/>
      <c r="Q127" s="11"/>
      <c r="R127" s="11"/>
      <c r="S127" s="11"/>
      <c r="T127" s="11"/>
      <c r="U127" s="10"/>
      <c r="V127" s="25"/>
      <c r="W127" s="11"/>
    </row>
    <row r="128" spans="3:23" x14ac:dyDescent="0.4">
      <c r="C128" s="11"/>
      <c r="D128" s="11"/>
      <c r="E128" s="10"/>
      <c r="F128" s="10"/>
      <c r="G128" s="11"/>
      <c r="H128" s="11"/>
      <c r="I128" s="11"/>
      <c r="J128" s="11"/>
      <c r="K128" s="11"/>
      <c r="L128" s="11"/>
      <c r="M128" s="11"/>
      <c r="N128" s="11"/>
      <c r="O128" s="10"/>
      <c r="P128" s="11"/>
      <c r="Q128" s="11"/>
      <c r="R128" s="11"/>
      <c r="S128" s="11"/>
      <c r="T128" s="11"/>
      <c r="U128" s="10"/>
      <c r="V128" s="25"/>
      <c r="W128" s="11"/>
    </row>
    <row r="129" spans="3:23" x14ac:dyDescent="0.4">
      <c r="C129" s="11"/>
      <c r="D129" s="11"/>
      <c r="E129" s="10"/>
      <c r="F129" s="10"/>
      <c r="G129" s="11"/>
      <c r="H129" s="11"/>
      <c r="I129" s="11"/>
      <c r="J129" s="11"/>
      <c r="K129" s="11"/>
      <c r="L129" s="11"/>
      <c r="M129" s="11"/>
      <c r="N129" s="11"/>
      <c r="O129" s="10"/>
      <c r="P129" s="11"/>
      <c r="Q129" s="11"/>
      <c r="R129" s="11"/>
      <c r="S129" s="11"/>
      <c r="T129" s="11"/>
      <c r="U129" s="10"/>
      <c r="V129" s="25"/>
      <c r="W129" s="11"/>
    </row>
    <row r="130" spans="3:23" x14ac:dyDescent="0.4">
      <c r="C130" s="11"/>
      <c r="D130" s="11"/>
      <c r="E130" s="10"/>
      <c r="F130" s="10"/>
      <c r="G130" s="11"/>
      <c r="H130" s="11"/>
      <c r="I130" s="11"/>
      <c r="J130" s="11"/>
      <c r="K130" s="11"/>
      <c r="L130" s="11"/>
      <c r="M130" s="11"/>
      <c r="N130" s="11"/>
      <c r="O130" s="10"/>
      <c r="P130" s="11"/>
      <c r="Q130" s="11"/>
      <c r="R130" s="11"/>
      <c r="S130" s="11"/>
      <c r="T130" s="11"/>
      <c r="U130" s="10"/>
      <c r="V130" s="25"/>
      <c r="W130" s="11"/>
    </row>
    <row r="131" spans="3:23" x14ac:dyDescent="0.4">
      <c r="C131" s="11"/>
      <c r="D131" s="11"/>
      <c r="E131" s="10"/>
      <c r="F131" s="10"/>
      <c r="G131" s="11"/>
      <c r="H131" s="11"/>
      <c r="I131" s="11"/>
      <c r="J131" s="11"/>
      <c r="K131" s="11"/>
      <c r="L131" s="11"/>
      <c r="M131" s="11"/>
      <c r="N131" s="11"/>
      <c r="O131" s="10"/>
      <c r="P131" s="11"/>
      <c r="Q131" s="11"/>
      <c r="R131" s="11"/>
      <c r="S131" s="11"/>
      <c r="T131" s="11"/>
      <c r="U131" s="10"/>
      <c r="V131" s="25"/>
      <c r="W131" s="11"/>
    </row>
    <row r="132" spans="3:23" x14ac:dyDescent="0.4">
      <c r="C132" s="11"/>
      <c r="D132" s="11"/>
      <c r="E132" s="10"/>
      <c r="F132" s="10"/>
      <c r="G132" s="11"/>
      <c r="H132" s="11"/>
      <c r="I132" s="11"/>
      <c r="J132" s="11"/>
      <c r="K132" s="11"/>
      <c r="L132" s="11"/>
      <c r="M132" s="11"/>
      <c r="N132" s="11"/>
      <c r="O132" s="10"/>
      <c r="P132" s="11"/>
      <c r="Q132" s="11"/>
      <c r="R132" s="11"/>
      <c r="S132" s="11"/>
      <c r="T132" s="11"/>
      <c r="U132" s="10"/>
      <c r="V132" s="25"/>
      <c r="W132" s="11"/>
    </row>
    <row r="133" spans="3:23" x14ac:dyDescent="0.4">
      <c r="C133" s="11"/>
      <c r="D133" s="11"/>
      <c r="E133" s="10"/>
      <c r="F133" s="10"/>
      <c r="G133" s="11"/>
      <c r="H133" s="11"/>
      <c r="I133" s="11"/>
      <c r="J133" s="11"/>
      <c r="K133" s="11"/>
      <c r="L133" s="11"/>
      <c r="M133" s="11"/>
      <c r="N133" s="11"/>
      <c r="O133" s="10"/>
      <c r="P133" s="11"/>
      <c r="Q133" s="11"/>
      <c r="R133" s="11"/>
      <c r="S133" s="11"/>
      <c r="T133" s="11"/>
      <c r="U133" s="10"/>
      <c r="V133" s="25"/>
      <c r="W133" s="11"/>
    </row>
    <row r="134" spans="3:23" x14ac:dyDescent="0.4">
      <c r="C134" s="11"/>
      <c r="D134" s="11"/>
      <c r="E134" s="10"/>
      <c r="F134" s="10"/>
      <c r="G134" s="11"/>
      <c r="H134" s="11"/>
      <c r="I134" s="11"/>
      <c r="J134" s="11"/>
      <c r="K134" s="11"/>
      <c r="L134" s="11"/>
      <c r="M134" s="11"/>
      <c r="N134" s="11"/>
      <c r="O134" s="10"/>
      <c r="P134" s="11"/>
      <c r="Q134" s="11"/>
      <c r="R134" s="11"/>
      <c r="S134" s="11"/>
      <c r="T134" s="11"/>
      <c r="U134" s="10"/>
      <c r="V134" s="25"/>
      <c r="W134" s="11"/>
    </row>
    <row r="135" spans="3:23" x14ac:dyDescent="0.4">
      <c r="C135" s="11"/>
      <c r="D135" s="11"/>
      <c r="E135" s="10"/>
      <c r="F135" s="10"/>
      <c r="G135" s="11"/>
      <c r="H135" s="11"/>
      <c r="I135" s="11"/>
      <c r="J135" s="11"/>
      <c r="K135" s="11"/>
      <c r="L135" s="11"/>
      <c r="M135" s="11"/>
      <c r="N135" s="11"/>
      <c r="O135" s="10"/>
      <c r="P135" s="11"/>
      <c r="Q135" s="11"/>
      <c r="R135" s="11"/>
      <c r="S135" s="11"/>
      <c r="T135" s="11"/>
      <c r="U135" s="10"/>
      <c r="V135" s="25"/>
      <c r="W135" s="11"/>
    </row>
    <row r="136" spans="3:23" x14ac:dyDescent="0.4">
      <c r="C136" s="11"/>
      <c r="D136" s="11"/>
      <c r="E136" s="10"/>
      <c r="F136" s="10"/>
      <c r="G136" s="11"/>
      <c r="H136" s="11"/>
      <c r="I136" s="11"/>
      <c r="J136" s="11"/>
      <c r="K136" s="11"/>
      <c r="L136" s="11"/>
      <c r="M136" s="11"/>
      <c r="N136" s="11"/>
      <c r="O136" s="10"/>
      <c r="P136" s="11"/>
      <c r="Q136" s="11"/>
      <c r="R136" s="11"/>
      <c r="S136" s="11"/>
      <c r="T136" s="11"/>
      <c r="U136" s="10"/>
      <c r="V136" s="25"/>
      <c r="W136" s="11"/>
    </row>
    <row r="137" spans="3:23" x14ac:dyDescent="0.4">
      <c r="C137" s="11"/>
      <c r="D137" s="11"/>
      <c r="E137" s="10"/>
      <c r="F137" s="10"/>
      <c r="G137" s="11"/>
      <c r="H137" s="11"/>
      <c r="I137" s="11"/>
      <c r="J137" s="11"/>
      <c r="K137" s="11"/>
      <c r="L137" s="11"/>
      <c r="M137" s="11"/>
      <c r="N137" s="11"/>
      <c r="O137" s="10"/>
      <c r="P137" s="11"/>
      <c r="Q137" s="11"/>
      <c r="R137" s="11"/>
      <c r="S137" s="11"/>
      <c r="T137" s="11"/>
      <c r="U137" s="10"/>
      <c r="V137" s="25"/>
      <c r="W137" s="11"/>
    </row>
    <row r="138" spans="3:23" x14ac:dyDescent="0.4">
      <c r="C138" s="11"/>
      <c r="D138" s="11"/>
      <c r="E138" s="10"/>
      <c r="F138" s="10"/>
      <c r="G138" s="11"/>
      <c r="H138" s="11"/>
      <c r="I138" s="11"/>
      <c r="J138" s="11"/>
      <c r="K138" s="11"/>
      <c r="L138" s="11"/>
      <c r="M138" s="11"/>
      <c r="N138" s="11"/>
      <c r="O138" s="10"/>
      <c r="P138" s="11"/>
      <c r="Q138" s="11"/>
      <c r="R138" s="11"/>
      <c r="S138" s="11"/>
      <c r="T138" s="11"/>
      <c r="U138" s="10"/>
      <c r="V138" s="25"/>
      <c r="W138" s="11"/>
    </row>
  </sheetData>
  <mergeCells count="13">
    <mergeCell ref="L67:L69"/>
    <mergeCell ref="J68:K68"/>
    <mergeCell ref="J69:K69"/>
    <mergeCell ref="H70:H74"/>
    <mergeCell ref="J74:K74"/>
    <mergeCell ref="C66:C67"/>
    <mergeCell ref="J66:K66"/>
    <mergeCell ref="D67:D74"/>
    <mergeCell ref="E67:E74"/>
    <mergeCell ref="F67:F68"/>
    <mergeCell ref="G67:G68"/>
    <mergeCell ref="H67:H69"/>
    <mergeCell ref="J67:K67"/>
  </mergeCells>
  <phoneticPr fontId="2" type="noConversion"/>
  <printOptions horizontalCentered="1"/>
  <pageMargins left="0.23622047244094491" right="0.23622047244094491" top="0.74803149606299213" bottom="0.74803149606299213" header="0.31496062992125984" footer="0.31496062992125984"/>
  <pageSetup paperSize="8" scale="4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DBBC3-D11E-4249-9374-35D5590DF7C8}">
  <dimension ref="B2:AA35"/>
  <sheetViews>
    <sheetView zoomScale="70" zoomScaleNormal="70" workbookViewId="0">
      <selection activeCell="C10" sqref="C10"/>
    </sheetView>
  </sheetViews>
  <sheetFormatPr defaultRowHeight="17.399999999999999" x14ac:dyDescent="0.4"/>
  <cols>
    <col min="6" max="6" width="11.09765625" bestFit="1" customWidth="1"/>
    <col min="7" max="7" width="16.09765625" bestFit="1" customWidth="1"/>
    <col min="12" max="13" width="11.09765625" bestFit="1" customWidth="1"/>
    <col min="18" max="19" width="11.09765625" bestFit="1" customWidth="1"/>
    <col min="24" max="25" width="11.09765625" bestFit="1" customWidth="1"/>
    <col min="30" max="30" width="15.8984375" bestFit="1" customWidth="1"/>
    <col min="31" max="31" width="14.59765625" bestFit="1" customWidth="1"/>
  </cols>
  <sheetData>
    <row r="2" spans="2:26" ht="36" x14ac:dyDescent="0.4">
      <c r="B2" s="116" t="s">
        <v>1753</v>
      </c>
      <c r="C2" s="117"/>
      <c r="D2" s="117"/>
      <c r="E2" s="117"/>
      <c r="F2" s="117"/>
      <c r="G2" s="117"/>
    </row>
    <row r="3" spans="2:26" ht="19.2" customHeight="1" x14ac:dyDescent="0.4">
      <c r="B3" s="114"/>
    </row>
    <row r="4" spans="2:26" x14ac:dyDescent="0.4">
      <c r="B4" s="6" t="s">
        <v>1773</v>
      </c>
      <c r="C4" s="182" t="s">
        <v>1775</v>
      </c>
      <c r="D4" s="182"/>
      <c r="E4" s="6" t="s">
        <v>1755</v>
      </c>
      <c r="F4" s="6" t="s">
        <v>1776</v>
      </c>
      <c r="G4" s="6" t="s">
        <v>1772</v>
      </c>
      <c r="H4" s="197" t="s">
        <v>1777</v>
      </c>
      <c r="I4" s="198"/>
      <c r="J4" s="199"/>
    </row>
    <row r="5" spans="2:26" x14ac:dyDescent="0.4">
      <c r="B5" s="115" t="s">
        <v>1774</v>
      </c>
      <c r="C5" s="183">
        <f>SUM(C21:Z21)</f>
        <v>42</v>
      </c>
      <c r="D5" s="184"/>
      <c r="E5" s="151">
        <f>SUM(C10:H20)</f>
        <v>20</v>
      </c>
      <c r="F5" s="151">
        <f>SUM(I10:N20)</f>
        <v>4</v>
      </c>
      <c r="G5" s="151">
        <f>SUM(O10:T20)</f>
        <v>11</v>
      </c>
      <c r="H5" s="200">
        <f>SUM(U10:Z20)</f>
        <v>7</v>
      </c>
      <c r="I5" s="201"/>
      <c r="J5" s="202"/>
    </row>
    <row r="7" spans="2:26" x14ac:dyDescent="0.4">
      <c r="B7" s="187" t="s">
        <v>1754</v>
      </c>
      <c r="C7" s="189" t="s">
        <v>1755</v>
      </c>
      <c r="D7" s="190"/>
      <c r="E7" s="190"/>
      <c r="F7" s="190"/>
      <c r="G7" s="191"/>
      <c r="H7" s="192"/>
      <c r="I7" s="193" t="s">
        <v>1756</v>
      </c>
      <c r="J7" s="190"/>
      <c r="K7" s="190"/>
      <c r="L7" s="190"/>
      <c r="M7" s="191"/>
      <c r="N7" s="192"/>
      <c r="O7" s="189" t="s">
        <v>1772</v>
      </c>
      <c r="P7" s="190"/>
      <c r="Q7" s="190"/>
      <c r="R7" s="190"/>
      <c r="S7" s="191"/>
      <c r="T7" s="192"/>
      <c r="U7" s="189" t="s">
        <v>1757</v>
      </c>
      <c r="V7" s="190"/>
      <c r="W7" s="190"/>
      <c r="X7" s="190"/>
      <c r="Y7" s="191"/>
      <c r="Z7" s="192"/>
    </row>
    <row r="8" spans="2:26" x14ac:dyDescent="0.4">
      <c r="B8" s="188"/>
      <c r="C8" s="122" t="s">
        <v>1325</v>
      </c>
      <c r="D8" s="194" t="s">
        <v>1324</v>
      </c>
      <c r="E8" s="194"/>
      <c r="F8" s="194"/>
      <c r="G8" s="195"/>
      <c r="H8" s="196"/>
      <c r="I8" s="118" t="s">
        <v>1325</v>
      </c>
      <c r="J8" s="194" t="s">
        <v>1324</v>
      </c>
      <c r="K8" s="194"/>
      <c r="L8" s="194"/>
      <c r="M8" s="195"/>
      <c r="N8" s="196"/>
      <c r="O8" s="122" t="s">
        <v>1325</v>
      </c>
      <c r="P8" s="194" t="s">
        <v>1324</v>
      </c>
      <c r="Q8" s="194"/>
      <c r="R8" s="194"/>
      <c r="S8" s="195"/>
      <c r="T8" s="196"/>
      <c r="U8" s="122" t="s">
        <v>1325</v>
      </c>
      <c r="V8" s="194" t="s">
        <v>1324</v>
      </c>
      <c r="W8" s="194"/>
      <c r="X8" s="194"/>
      <c r="Y8" s="195"/>
      <c r="Z8" s="196"/>
    </row>
    <row r="9" spans="2:26" x14ac:dyDescent="0.4">
      <c r="B9" s="188"/>
      <c r="C9" s="123" t="s">
        <v>1758</v>
      </c>
      <c r="D9" s="120" t="s">
        <v>1758</v>
      </c>
      <c r="E9" s="120" t="s">
        <v>1759</v>
      </c>
      <c r="F9" s="120" t="s">
        <v>1973</v>
      </c>
      <c r="G9" s="148" t="s">
        <v>1972</v>
      </c>
      <c r="H9" s="121" t="s">
        <v>1870</v>
      </c>
      <c r="I9" s="124" t="s">
        <v>1758</v>
      </c>
      <c r="J9" s="120" t="s">
        <v>1758</v>
      </c>
      <c r="K9" s="120" t="s">
        <v>1759</v>
      </c>
      <c r="L9" s="120" t="s">
        <v>1973</v>
      </c>
      <c r="M9" s="148" t="s">
        <v>1972</v>
      </c>
      <c r="N9" s="121" t="s">
        <v>1870</v>
      </c>
      <c r="O9" s="123" t="s">
        <v>1758</v>
      </c>
      <c r="P9" s="120" t="s">
        <v>1758</v>
      </c>
      <c r="Q9" s="120" t="s">
        <v>1759</v>
      </c>
      <c r="R9" s="120" t="s">
        <v>1973</v>
      </c>
      <c r="S9" s="148" t="s">
        <v>1972</v>
      </c>
      <c r="T9" s="121" t="s">
        <v>1870</v>
      </c>
      <c r="U9" s="123" t="s">
        <v>1758</v>
      </c>
      <c r="V9" s="120" t="s">
        <v>1758</v>
      </c>
      <c r="W9" s="120" t="s">
        <v>1759</v>
      </c>
      <c r="X9" s="120" t="s">
        <v>1973</v>
      </c>
      <c r="Y9" s="148" t="s">
        <v>1972</v>
      </c>
      <c r="Z9" s="121" t="s">
        <v>1870</v>
      </c>
    </row>
    <row r="10" spans="2:26" x14ac:dyDescent="0.4">
      <c r="B10" s="119" t="s">
        <v>1760</v>
      </c>
      <c r="C10" s="127">
        <f>COUNTIFS('예비 및 여유차량'!$B$5:$B$24,"O",'예비 및 여유차량'!$I$5:$I$24,"좌식",'예비 및 여유차량'!$J$5:$J$24,"1.5T")</f>
        <v>0</v>
      </c>
      <c r="D10" s="128">
        <f>COUNTIFS('예비 및 여유차량'!$B$5:$B$24,"B",'예비 및 여유차량'!$I$5:$I$24,"좌식",'예비 및 여유차량'!$J$5:$J$24,"1.5T")</f>
        <v>1</v>
      </c>
      <c r="E10" s="128">
        <f>COUNTIFS('예비 및 여유차량'!$B$5:$B$24,"B",'예비 및 여유차량'!$I$5:$I$24,"입식",'예비 및 여유차량'!$J$5:$J$24,"1.5T")</f>
        <v>0</v>
      </c>
      <c r="F10" s="128">
        <f>COUNTIFS('예비 및 여유차량'!$B$5:$B$24,"B",'예비 및 여유차량'!$I$5:$I$24,"핸드파레트",'예비 및 여유차량'!$J$5:$J$24,"1.5T")</f>
        <v>0</v>
      </c>
      <c r="G10" s="129">
        <f>COUNTIFS('예비 및 여유차량'!$B$5:$B$24,"B",'예비 및 여유차량'!$I$5:$I$24,"핸드리프트",'예비 및 여유차량'!$J$5:$J$24,"1.5T")</f>
        <v>2</v>
      </c>
      <c r="H10" s="129">
        <f>COUNTIFS('예비 및 여유차량'!$B$5:$B$24,"B",'예비 및 여유차량'!$I$5:$I$24,"&lt;&gt;핸드리프트",'예비 및 여유차량'!$I$5:$I$24,"&lt;&gt;핸드파레트",'예비 및 여유차량'!$I$5:$I$24,"&lt;&gt;입식",'예비 및 여유차량'!$I$5:$I$24,"&lt;&gt;좌식",'예비 및 여유차량'!$J$5:$J$24,"1.5T")</f>
        <v>1</v>
      </c>
      <c r="I10" s="130">
        <f>COUNTIFS('예비 및 여유차량'!B27:B30,"O",'예비 및 여유차량'!$I$27:$I$30,"좌식",'예비 및 여유차량'!$J$27:$J$30,"1.5T")</f>
        <v>0</v>
      </c>
      <c r="J10" s="131">
        <f>COUNTIFS('예비 및 여유차량'!B27:B30,"B",'예비 및 여유차량'!$I$27:$I$30,"좌식",'예비 및 여유차량'!$J$27:$J$30,"1.5T")</f>
        <v>0</v>
      </c>
      <c r="K10" s="131">
        <f>COUNTIFS('예비 및 여유차량'!B27:B30,"B",'예비 및 여유차량'!$I$27:$I$30,"입식",'예비 및 여유차량'!$J$27:$J$30,"1.5T")</f>
        <v>0</v>
      </c>
      <c r="L10" s="131">
        <f>COUNTIFS('예비 및 여유차량'!B27:B30,"B",'예비 및 여유차량'!$I$27:$I$30,"핸드파레트",'예비 및 여유차량'!$J$27:$J$30,"1.5T")</f>
        <v>0</v>
      </c>
      <c r="M10" s="149">
        <f>COUNTIFS('예비 및 여유차량'!A27:A30,"B",'예비 및 여유차량'!$I$27:$I$30,"핸드리프트",'예비 및 여유차량'!$J$27:$J$30,"1.5T")</f>
        <v>0</v>
      </c>
      <c r="N10" s="132">
        <f>COUNTIFS('예비 및 여유차량'!A27:A30,"B",'예비 및 여유차량'!I27:I30,"&lt;&gt;핸드리프트",'예비 및 여유차량'!I27:I30,"&lt;&gt;핸드파레트",'예비 및 여유차량'!I27:I30,"&lt;&gt;입식",'예비 및 여유차량'!I27:I30,"&lt;&gt;좌식",'예비 및 여유차량'!J27:J30,"1.5T")</f>
        <v>0</v>
      </c>
      <c r="O10" s="130">
        <f>COUNTIFS('예비 및 여유차량'!$B$34:$B$44,"O",'예비 및 여유차량'!$I$34:$I$44,"좌식",'예비 및 여유차량'!$J$34:$J$44,"1.5T")</f>
        <v>0</v>
      </c>
      <c r="P10" s="131">
        <f>COUNTIFS('예비 및 여유차량'!$B$34:$B$44,"B",'예비 및 여유차량'!$I$34:$I$44,"좌식",'예비 및 여유차량'!$J$34:$J$44,"1.5T")</f>
        <v>0</v>
      </c>
      <c r="Q10" s="131">
        <f>COUNTIFS('예비 및 여유차량'!$B$34:$B$44,"B",'예비 및 여유차량'!$I$34:$I$44,"입식",'예비 및 여유차량'!$J$34:$J$44,"1.5T")</f>
        <v>0</v>
      </c>
      <c r="R10" s="131">
        <f>COUNTIFS('예비 및 여유차량'!$B$34:$B$44,"B",'예비 및 여유차량'!$I$34:$I$44,"핸드파레트",'예비 및 여유차량'!$J$34:$J$44,"1.5T")</f>
        <v>0</v>
      </c>
      <c r="S10" s="149">
        <f>COUNTIFS('예비 및 여유차량'!$B$34:$B$44,"B",'예비 및 여유차량'!$I$34:$I$44,"핸드리프트",'예비 및 여유차량'!$J$34:$J$44,"1.5T")</f>
        <v>0</v>
      </c>
      <c r="T10" s="132">
        <f>COUNTIFS('예비 및 여유차량'!$B$34:$B$44,"B",'예비 및 여유차량'!$I$34:$I$44,"&lt;&gt;핸드리프트",'예비 및 여유차량'!$I$34:$I$44,"&lt;&gt;핸드파레트",'예비 및 여유차량'!$I$34:$I$44,"&lt;&gt;입식",'예비 및 여유차량'!$I$34:$I$44,"&lt;&gt;좌식",'예비 및 여유차량'!$J$34:$J$44,"1.5T")</f>
        <v>1</v>
      </c>
      <c r="U10" s="127">
        <f>COUNTIFS('예비 및 여유차량'!$B$55:$B$61,"O",'예비 및 여유차량'!$I$55:$I$61,"좌식",'예비 및 여유차량'!$J$55:$J$61,"1.5T")</f>
        <v>0</v>
      </c>
      <c r="V10" s="128">
        <f>COUNTIFS('예비 및 여유차량'!$B$55:$B$61,"B",'예비 및 여유차량'!$I$55:$I$61,"좌식",'예비 및 여유차량'!$J$55:$J$61,"1.5T")</f>
        <v>0</v>
      </c>
      <c r="W10" s="128">
        <f>COUNTIFS('예비 및 여유차량'!$B$55:$B$61,"B",'예비 및 여유차량'!$I$55:$I$61,"입식",'예비 및 여유차량'!$J$55:$J$61,"1.5T")</f>
        <v>0</v>
      </c>
      <c r="X10" s="128">
        <f>COUNTIFS('예비 및 여유차량'!$B$55:$B$61,"B",'예비 및 여유차량'!$I$55:$I$61,"핸드파레트",'예비 및 여유차량'!$J$55:$J$61,"1.5T")</f>
        <v>0</v>
      </c>
      <c r="Y10" s="129">
        <f>COUNTIFS('예비 및 여유차량'!$B$55:$B$61,"B",'예비 및 여유차량'!$I$55:$I$61,"핸드리프트",'예비 및 여유차량'!$J$55:$J$61,"1.5T")</f>
        <v>0</v>
      </c>
      <c r="Z10" s="133">
        <f>COUNTIFS('예비 및 여유차량'!$B$55:$B$61,"B",'예비 및 여유차량'!$I$55:$I$61,"&lt;&gt;핸드리프트",'예비 및 여유차량'!$I$55:$I$61,"&lt;&gt;핸드파레트",'예비 및 여유차량'!$I$55:$I$61,"&lt;&gt;입식",'예비 및 여유차량'!$I$55:$I$61,"&lt;&gt;좌식",'예비 및 여유차량'!$J$55:$J$61,"1.5T")</f>
        <v>0</v>
      </c>
    </row>
    <row r="11" spans="2:26" x14ac:dyDescent="0.4">
      <c r="B11" s="119" t="s">
        <v>1761</v>
      </c>
      <c r="C11" s="134">
        <f>COUNTIFS('예비 및 여유차량'!$B$5:$B$24,"O",'예비 및 여유차량'!$I$5:$I$24,"좌식",'예비 및 여유차량'!$J$5:$J$24,"1.8T")</f>
        <v>0</v>
      </c>
      <c r="D11" s="135">
        <f>COUNTIFS('예비 및 여유차량'!$B$5:$B$24,"B",'예비 및 여유차량'!$I$5:$I$24,"좌식",'예비 및 여유차량'!$J$5:$J$24,"1.8T")</f>
        <v>2</v>
      </c>
      <c r="E11" s="135">
        <f>COUNTIFS('예비 및 여유차량'!$B$5:$B$24,"B",'예비 및 여유차량'!$I$5:$I$24,"입식",'예비 및 여유차량'!$J$5:$J$24,"1.8T")</f>
        <v>0</v>
      </c>
      <c r="F11" s="135">
        <f>COUNTIFS('예비 및 여유차량'!$B$5:$B$24,"B",'예비 및 여유차량'!$I$5:$I$24,"핸드파레트",'예비 및 여유차량'!$J$5:$J$24,"1.8T")</f>
        <v>0</v>
      </c>
      <c r="G11" s="136">
        <f>COUNTIFS('예비 및 여유차량'!$B$5:$B$24,"B",'예비 및 여유차량'!$I$5:$I$24,"핸드리프트",'예비 및 여유차량'!$J$5:$J$24,"1.8T")</f>
        <v>0</v>
      </c>
      <c r="H11" s="129">
        <f>COUNTIFS('예비 및 여유차량'!$B$5:$B$24,"B",'예비 및 여유차량'!$I$5:$I$24,"&lt;&gt;핸드리프트",'예비 및 여유차량'!$I$5:$I$24,"&lt;&gt;핸드파레트",'예비 및 여유차량'!$I$5:$I$24,"&lt;&gt;입식",'예비 및 여유차량'!$I$5:$I$24,"&lt;&gt;좌식",'예비 및 여유차량'!$J$5:$J$24,"1.8T")</f>
        <v>0</v>
      </c>
      <c r="I11" s="137">
        <f>COUNTIFS('예비 및 여유차량'!B27:B30,"O",'예비 및 여유차량'!$I$27:$I$30,"좌식",'예비 및 여유차량'!$J$27:$J$30,"1.8T")</f>
        <v>0</v>
      </c>
      <c r="J11" s="135">
        <f>COUNTIFS('예비 및 여유차량'!B27:B30,"B",'예비 및 여유차량'!$I$27:$I$30,"좌식",'예비 및 여유차량'!$J$27:$J$30,"1.8T")</f>
        <v>1</v>
      </c>
      <c r="K11" s="135">
        <f>COUNTIFS('예비 및 여유차량'!B27:B30,"B",'예비 및 여유차량'!$I$27:$I$30,"입식",'예비 및 여유차량'!$J$27:$J$30,"1.8T")</f>
        <v>0</v>
      </c>
      <c r="L11" s="135">
        <f>COUNTIFS('예비 및 여유차량'!B27:B30,"B",'예비 및 여유차량'!$I$27:$I$30,"핸드파레트",'예비 및 여유차량'!$J$27:$J$30,"1.8T")</f>
        <v>0</v>
      </c>
      <c r="M11" s="136">
        <f>COUNTIFS('예비 및 여유차량'!A27:A30,"B",'예비 및 여유차량'!$I$27:$I$30,"핸드리프트",'예비 및 여유차량'!$J$27:$J$30,"1.8T")</f>
        <v>0</v>
      </c>
      <c r="N11" s="138">
        <f>COUNTIFS('예비 및 여유차량'!A28:A31,"B",'예비 및 여유차량'!I28:I31,"&lt;&gt;핸드리프트",'예비 및 여유차량'!I28:I31,"&lt;&gt;핸드파레트",'예비 및 여유차량'!I28:I31,"&lt;&gt;입식",'예비 및 여유차량'!I28:I31,"&lt;&gt;좌식",'예비 및 여유차량'!J28:J31,"1.8T")</f>
        <v>0</v>
      </c>
      <c r="O11" s="137">
        <f>COUNTIFS('예비 및 여유차량'!$B$34:$B$44,"O",'예비 및 여유차량'!$I$34:$I$44,"좌식",'예비 및 여유차량'!$J$34:$J$44,"1.8T")</f>
        <v>0</v>
      </c>
      <c r="P11" s="135">
        <f>COUNTIFS('예비 및 여유차량'!$B$34:$B$44,"B",'예비 및 여유차량'!$I$34:$I$44,"좌식",'예비 및 여유차량'!$J$34:$J$44,"1.8T")</f>
        <v>0</v>
      </c>
      <c r="Q11" s="135">
        <f>COUNTIFS('예비 및 여유차량'!$B$34:$B$44,"B",'예비 및 여유차량'!$I$34:$I$44,"입식",'예비 및 여유차량'!$J$34:$J$44,"1.8T")</f>
        <v>0</v>
      </c>
      <c r="R11" s="135">
        <f>COUNTIFS('예비 및 여유차량'!$B$34:$B$44,"B",'예비 및 여유차량'!$I$34:$I$44,"핸드파레트",'예비 및 여유차량'!$J$34:$J$44,"1.8T")</f>
        <v>0</v>
      </c>
      <c r="S11" s="136">
        <f>COUNTIFS('예비 및 여유차량'!$B$34:$B$44,"B",'예비 및 여유차량'!$I$34:$I$44,"핸드리프트",'예비 및 여유차량'!$J$34:$J$44,"1.58T")</f>
        <v>0</v>
      </c>
      <c r="T11" s="138">
        <f>COUNTIFS('예비 및 여유차량'!$B$34:$B$44,"B",'예비 및 여유차량'!$I$34:$I$44,"&lt;&gt;핸드리프트",'예비 및 여유차량'!$I$34:$I$44,"&lt;&gt;핸드파레트",'예비 및 여유차량'!$I$34:$I$44,"&lt;&gt;입식",'예비 및 여유차량'!$I$34:$I$44,"&lt;&gt;좌식",'예비 및 여유차량'!$J$34:$J$44,"1.8T")</f>
        <v>0</v>
      </c>
      <c r="U11" s="134">
        <f>COUNTIFS('예비 및 여유차량'!$B$55:$B$61,"O",'예비 및 여유차량'!$I$55:$I$61,"좌식",'예비 및 여유차량'!$J$55:$J$61,"1.8T")</f>
        <v>0</v>
      </c>
      <c r="V11" s="135">
        <f>COUNTIFS('예비 및 여유차량'!$B$55:$B$61,"B",'예비 및 여유차량'!$I$55:$I$61,"좌식",'예비 및 여유차량'!$J$55:$J$61,"1.8T")</f>
        <v>0</v>
      </c>
      <c r="W11" s="135">
        <f>COUNTIFS('예비 및 여유차량'!$B$55:$B$61,"B",'예비 및 여유차량'!$I$55:$I$61,"입식",'예비 및 여유차량'!$J$55:$J$61,"1.8T")</f>
        <v>0</v>
      </c>
      <c r="X11" s="135">
        <f>COUNTIFS('예비 및 여유차량'!$B$55:$B$61,"B",'예비 및 여유차량'!$I$55:$I$61,"핸드파레트",'예비 및 여유차량'!$J$55:$J$61,"1.8T")</f>
        <v>0</v>
      </c>
      <c r="Y11" s="136">
        <f>COUNTIFS('예비 및 여유차량'!$B$55:$B$61,"B",'예비 및 여유차량'!$I$55:$I$61,"핸드리프트",'예비 및 여유차량'!$J$55:$J$61,"1.8T")</f>
        <v>0</v>
      </c>
      <c r="Z11" s="138">
        <f>COUNTIFS('예비 및 여유차량'!$B$55:$B$61,"B",'예비 및 여유차량'!$I$55:$I$61,"&lt;&gt;핸드리프트",'예비 및 여유차량'!$I$55:$I$61,"&lt;&gt;핸드파레트",'예비 및 여유차량'!$I$55:$I$61,"&lt;&gt;입식",'예비 및 여유차량'!$I$55:$I$61,"&lt;&gt;좌식",'예비 및 여유차량'!$J$55:$J$61,"1.8T")</f>
        <v>0</v>
      </c>
    </row>
    <row r="12" spans="2:26" x14ac:dyDescent="0.4">
      <c r="B12" s="119" t="s">
        <v>1771</v>
      </c>
      <c r="C12" s="134">
        <f>COUNTIFS('예비 및 여유차량'!$B$5:$B$24,"O",'예비 및 여유차량'!$I$5:$I$24,"좌식",'예비 및 여유차량'!$J$5:$J$24,"2.0T")</f>
        <v>0</v>
      </c>
      <c r="D12" s="135">
        <f>COUNTIFS('예비 및 여유차량'!$B$5:$B$24,"B",'예비 및 여유차량'!$I$5:$I$24,"좌식",'예비 및 여유차량'!$J$5:$J$24,"2.0T")</f>
        <v>0</v>
      </c>
      <c r="E12" s="135">
        <f>COUNTIFS('예비 및 여유차량'!$B$5:$B$24,"B",'예비 및 여유차량'!$I$5:$I$24,"입식",'예비 및 여유차량'!$J$5:$J$24,"2.0T")</f>
        <v>0</v>
      </c>
      <c r="F12" s="135">
        <f>COUNTIFS('예비 및 여유차량'!$B$5:$B$24,"B",'예비 및 여유차량'!$I$5:$I$24,"핸드파레트",'예비 및 여유차량'!$J$5:$J$24,"2.0T")</f>
        <v>1</v>
      </c>
      <c r="G12" s="136">
        <f>COUNTIFS('예비 및 여유차량'!$B$5:$B$24,"B",'예비 및 여유차량'!$I$5:$I$24,"핸드리프트",'예비 및 여유차량'!$J$5:$J$24,"2.0T")</f>
        <v>0</v>
      </c>
      <c r="H12" s="129">
        <f>COUNTIFS('예비 및 여유차량'!$B$5:$B$24,"B",'예비 및 여유차량'!$I$5:$I$24,"&lt;&gt;핸드리프트",'예비 및 여유차량'!$I$5:$I$24,"&lt;&gt;핸드파레트",'예비 및 여유차량'!$I$5:$I$24,"&lt;&gt;입식",'예비 및 여유차량'!$I$5:$I$24,"&lt;&gt;좌식",'예비 및 여유차량'!$J$5:$J$24,"2.0T")</f>
        <v>1</v>
      </c>
      <c r="I12" s="137">
        <f>COUNTIFS('예비 및 여유차량'!B27:B30,"O",'예비 및 여유차량'!$I$27:$I$30,"좌식",'예비 및 여유차량'!$J$27:$J$30,"2.0T")</f>
        <v>0</v>
      </c>
      <c r="J12" s="135">
        <f>COUNTIFS('예비 및 여유차량'!B27:B30,"B",'예비 및 여유차량'!$I$27:$I$30,"좌식",'예비 및 여유차량'!$J$27:$J$30,"2.0T")</f>
        <v>0</v>
      </c>
      <c r="K12" s="135">
        <f>COUNTIFS('예비 및 여유차량'!B27:B30,"B",'예비 및 여유차량'!$I$27:$I$30,"입식",'예비 및 여유차량'!$J$27:$J$30,"2.0T")</f>
        <v>0</v>
      </c>
      <c r="L12" s="135">
        <f>COUNTIFS('예비 및 여유차량'!B27:B30,"B",'예비 및 여유차량'!$I$27:$I$30,"핸드파레트",'예비 및 여유차량'!$J$27:$J$30,"2.0T")</f>
        <v>0</v>
      </c>
      <c r="M12" s="136">
        <f>COUNTIFS('예비 및 여유차량'!A27:A30,"B",'예비 및 여유차량'!$I$27:$I$30,"핸드리프트",'예비 및 여유차량'!$J$27:$J$30,"2.0T")</f>
        <v>0</v>
      </c>
      <c r="N12" s="138">
        <f>COUNTIFS('예비 및 여유차량'!A29:A32,"B",'예비 및 여유차량'!I29:I32,"&lt;&gt;핸드리프트",'예비 및 여유차량'!I29:I32,"&lt;&gt;핸드파레트",'예비 및 여유차량'!I29:I32,"&lt;&gt;입식",'예비 및 여유차량'!I29:I32,"&lt;&gt;좌식",'예비 및 여유차량'!J29:J32,"2.0T")</f>
        <v>0</v>
      </c>
      <c r="O12" s="137">
        <f>COUNTIFS('예비 및 여유차량'!$B$34:$B$44,"O",'예비 및 여유차량'!$I$34:$I$44,"좌식",'예비 및 여유차량'!$J$34:$J$44,"2.0T")</f>
        <v>0</v>
      </c>
      <c r="P12" s="135">
        <f>COUNTIFS('예비 및 여유차량'!$B$34:$B$44,"B",'예비 및 여유차량'!$I$34:$I$44,"좌식",'예비 및 여유차량'!$J$34:$J$44,"2.0T")</f>
        <v>0</v>
      </c>
      <c r="Q12" s="135">
        <f>COUNTIFS('예비 및 여유차량'!$B$34:$B$44,"B",'예비 및 여유차량'!$I$34:$I$44,"입식",'예비 및 여유차량'!$J$34:$J$44,"2.0T")</f>
        <v>0</v>
      </c>
      <c r="R12" s="135">
        <f>COUNTIFS('예비 및 여유차량'!$B$34:$B$44,"B",'예비 및 여유차량'!$I$34:$I$44,"핸드파레트",'예비 및 여유차량'!$J$34:$J$44,"2.0T")</f>
        <v>0</v>
      </c>
      <c r="S12" s="136">
        <f>COUNTIFS('예비 및 여유차량'!$B$34:$B$44,"B",'예비 및 여유차량'!$I$34:$I$44,"핸드리프트",'예비 및 여유차량'!$J$34:$J$44,"2.0T")</f>
        <v>0</v>
      </c>
      <c r="T12" s="138">
        <f>COUNTIFS('예비 및 여유차량'!$B$34:$B$44,"B",'예비 및 여유차량'!$I$34:$I$44,"&lt;&gt;핸드리프트",'예비 및 여유차량'!$I$34:$I$44,"&lt;&gt;핸드파레트",'예비 및 여유차량'!$I$34:$I$44,"&lt;&gt;입식",'예비 및 여유차량'!$I$34:$I$44,"&lt;&gt;좌식",'예비 및 여유차량'!$J$34:$J$44,"2.0T")</f>
        <v>0</v>
      </c>
      <c r="U12" s="134">
        <f>COUNTIFS('예비 및 여유차량'!$B$55:$B$61,"O",'예비 및 여유차량'!$I$55:$I$61,"좌식",'예비 및 여유차량'!$J$55:$J$61,"2.0T")</f>
        <v>0</v>
      </c>
      <c r="V12" s="135">
        <f>COUNTIFS('예비 및 여유차량'!$B$55:$B$61,"B",'예비 및 여유차량'!$I$55:$I$61,"좌식",'예비 및 여유차량'!$J$55:$J$61,"2.0T")</f>
        <v>0</v>
      </c>
      <c r="W12" s="135">
        <f>COUNTIFS('예비 및 여유차량'!$B$55:$B$61,"B",'예비 및 여유차량'!$I$55:$I$61,"입식",'예비 및 여유차량'!$J$55:$J$61,"2.0T")</f>
        <v>1</v>
      </c>
      <c r="X12" s="135">
        <f>COUNTIFS('예비 및 여유차량'!$B$55:$B$61,"B",'예비 및 여유차량'!$I$55:$I$61,"핸드파레트",'예비 및 여유차량'!$J$55:$J$61,"2.0T")</f>
        <v>0</v>
      </c>
      <c r="Y12" s="136">
        <f>COUNTIFS('예비 및 여유차량'!$B$55:$B$61,"B",'예비 및 여유차량'!$I$55:$I$61,"핸ㄷ리프트",'예비 및 여유차량'!$J$55:$J$61,"2.0T")</f>
        <v>0</v>
      </c>
      <c r="Z12" s="138">
        <f>COUNTIFS('예비 및 여유차량'!$B$55:$B$61,"B",'예비 및 여유차량'!$I$55:$I$61,"&lt;&gt;핸드리프트",'예비 및 여유차량'!$I$55:$I$61,"&lt;&gt;핸드파레트",'예비 및 여유차량'!$I$55:$I$61,"&lt;&gt;입식",'예비 및 여유차량'!$I$55:$I$61,"&lt;&gt;좌식",'예비 및 여유차량'!$J$55:$J$61,"2.0T")</f>
        <v>0</v>
      </c>
    </row>
    <row r="13" spans="2:26" x14ac:dyDescent="0.4">
      <c r="B13" s="119" t="s">
        <v>1762</v>
      </c>
      <c r="C13" s="134">
        <f>COUNTIFS('예비 및 여유차량'!$B$5:$B$24,"O",'예비 및 여유차량'!$I$5:$I$24,"좌식",'예비 및 여유차량'!$J$5:$J$24,"2.5T")</f>
        <v>0</v>
      </c>
      <c r="D13" s="135">
        <f>COUNTIFS('예비 및 여유차량'!$B$5:$B$24,"B",'예비 및 여유차량'!$I$5:$I$24,"좌식",'예비 및 여유차량'!$J$5:$J$24,"2.5T")</f>
        <v>1</v>
      </c>
      <c r="E13" s="135">
        <f>COUNTIFS('예비 및 여유차량'!$B$5:$B$24,"B",'예비 및 여유차량'!$I$5:$I$24,"입식",'예비 및 여유차량'!$J$5:$J$24,"2.5T")</f>
        <v>0</v>
      </c>
      <c r="F13" s="135">
        <f>COUNTIFS('예비 및 여유차량'!$B$5:$B$24,"B",'예비 및 여유차량'!$I$5:$I$24,"핸드파레트",'예비 및 여유차량'!$J$5:$J$24,"2.5T")</f>
        <v>0</v>
      </c>
      <c r="G13" s="136">
        <f>COUNTIFS('예비 및 여유차량'!$B$5:$B$24,"B",'예비 및 여유차량'!$I$5:$I$24,"핸드리프트",'예비 및 여유차량'!$J$5:$J$24,"2.5T")</f>
        <v>0</v>
      </c>
      <c r="H13" s="129">
        <f>COUNTIFS('예비 및 여유차량'!$B$5:$B$24,"B",'예비 및 여유차량'!$I$5:$I$24,"&lt;&gt;핸드리프트",'예비 및 여유차량'!$I$5:$I$24,"&lt;&gt;핸드파레트",'예비 및 여유차량'!$I$5:$I$24,"&lt;&gt;입식",'예비 및 여유차량'!$I$5:$I$24,"&lt;&gt;좌식",'예비 및 여유차량'!$J$5:$J$24,"2.5T")</f>
        <v>0</v>
      </c>
      <c r="I13" s="137">
        <f>COUNTIFS('예비 및 여유차량'!B27:B30,"O",'예비 및 여유차량'!$I$27:$I$30,"좌식",'예비 및 여유차량'!$J$27:$J$30,"2.5T")</f>
        <v>1</v>
      </c>
      <c r="J13" s="135">
        <f>COUNTIFS('예비 및 여유차량'!B27:B30,"B",'예비 및 여유차량'!$I$27:$I$30,"좌식",'예비 및 여유차량'!$J$27:$J$30,"2.5T")</f>
        <v>0</v>
      </c>
      <c r="K13" s="135">
        <f>COUNTIFS('예비 및 여유차량'!B27:B30,"B",'예비 및 여유차량'!$I$27:$I$30,"입식",'예비 및 여유차량'!$J$27:$J$30,"2.5T")</f>
        <v>0</v>
      </c>
      <c r="L13" s="135">
        <f>COUNTIFS('예비 및 여유차량'!B27:B30,"B",'예비 및 여유차량'!$I$27:$I$30,"핸드파레트",'예비 및 여유차량'!$J$27:$J$30,"2.5T")</f>
        <v>0</v>
      </c>
      <c r="M13" s="136">
        <f>COUNTIFS('예비 및 여유차량'!A27:A30,"B",'예비 및 여유차량'!$I$27:$I$30,"핸드리프트",'예비 및 여유차량'!$J$27:$J$30,"2.5T")</f>
        <v>0</v>
      </c>
      <c r="N13" s="138">
        <f>COUNTIFS('예비 및 여유차량'!A30:A33,"B",'예비 및 여유차량'!I30:I33,"&lt;&gt;핸드리프트",'예비 및 여유차량'!I30:I33,"&lt;&gt;핸드파레트",'예비 및 여유차량'!I30:I33,"&lt;&gt;입식",'예비 및 여유차량'!I30:I33,"&lt;&gt;좌식",'예비 및 여유차량'!J30:J33,"2.5T")</f>
        <v>0</v>
      </c>
      <c r="O13" s="137">
        <f>COUNTIFS('예비 및 여유차량'!$B$34:$B$44,"O",'예비 및 여유차량'!$I$34:$I$44,"좌식",'예비 및 여유차량'!$J$34:$J$44,"2.5T")</f>
        <v>0</v>
      </c>
      <c r="P13" s="135">
        <f>COUNTIFS('예비 및 여유차량'!$B$34:$B$44,"B",'예비 및 여유차량'!$I$34:$I$44,"좌식",'예비 및 여유차량'!$J$34:$J$44,"2.5T")</f>
        <v>0</v>
      </c>
      <c r="Q13" s="135">
        <f>COUNTIFS('예비 및 여유차량'!$B$34:$B$44,"B",'예비 및 여유차량'!$I$34:$I$44,"입식",'예비 및 여유차량'!$J$34:$J$44,"2.5T")</f>
        <v>3</v>
      </c>
      <c r="R13" s="135">
        <f>COUNTIFS('예비 및 여유차량'!$B$34:$B$44,"B",'예비 및 여유차량'!$I$34:$I$44,"핸드파레트",'예비 및 여유차량'!$J$34:$J$44,"2.5T")</f>
        <v>0</v>
      </c>
      <c r="S13" s="136">
        <f>COUNTIFS('예비 및 여유차량'!$B$34:$B$44,"B",'예비 및 여유차량'!$I$34:$I$44,"핸ㄷ리프트",'예비 및 여유차량'!$J$34:$J$44,"2.5T")</f>
        <v>0</v>
      </c>
      <c r="T13" s="138">
        <f>COUNTIFS('예비 및 여유차량'!$B$34:$B$44,"B",'예비 및 여유차량'!$I$34:$I$44,"&lt;&gt;핸드리프트",'예비 및 여유차량'!$I$34:$I$44,"&lt;&gt;핸드파레트",'예비 및 여유차량'!$I$34:$I$44,"&lt;&gt;입식",'예비 및 여유차량'!$I$34:$I$44,"&lt;&gt;좌식",'예비 및 여유차량'!$J$34:$J$44,"2.5T")</f>
        <v>0</v>
      </c>
      <c r="U13" s="134">
        <f>COUNTIFS('예비 및 여유차량'!$B$55:$B$61,"O",'예비 및 여유차량'!$I$55:$I$61,"좌식",'예비 및 여유차량'!$J$55:$J$61,"2.5T")</f>
        <v>0</v>
      </c>
      <c r="V13" s="135">
        <f>COUNTIFS('예비 및 여유차량'!$B$55:$B$61,"B",'예비 및 여유차량'!$I$55:$I$61,"좌식",'예비 및 여유차량'!$J$55:$J$61,"2.5T")</f>
        <v>2</v>
      </c>
      <c r="W13" s="135">
        <f>COUNTIFS('예비 및 여유차량'!$B$55:$B$61,"B",'예비 및 여유차량'!$I$55:$I$61,"입식",'예비 및 여유차량'!$J$55:$J$61,"2.5T")</f>
        <v>4</v>
      </c>
      <c r="X13" s="135">
        <f>COUNTIFS('예비 및 여유차량'!$B$55:$B$61,"B",'예비 및 여유차량'!$I$55:$I$61,"핸드파레트",'예비 및 여유차량'!$J$55:$J$61,"2.5T")</f>
        <v>0</v>
      </c>
      <c r="Y13" s="136">
        <f>COUNTIFS('예비 및 여유차량'!$B$55:$B$61,"B",'예비 및 여유차량'!$I$55:$I$61,"핸드리프트",'예비 및 여유차량'!$J$55:$J$61,"2.5T")</f>
        <v>0</v>
      </c>
      <c r="Z13" s="138">
        <f>COUNTIFS('예비 및 여유차량'!$B$55:$B$61,"B",'예비 및 여유차량'!$I$55:$I$61,"&lt;&gt;핸드리프트",'예비 및 여유차량'!$I$55:$I$61,"&lt;&gt;핸드파레트",'예비 및 여유차량'!$I$55:$I$61,"&lt;&gt;입식",'예비 및 여유차량'!$I$55:$I$61,"&lt;&gt;좌식",'예비 및 여유차량'!$J$55:$J$61,"2.5T")</f>
        <v>0</v>
      </c>
    </row>
    <row r="14" spans="2:26" x14ac:dyDescent="0.4">
      <c r="B14" s="119" t="s">
        <v>1763</v>
      </c>
      <c r="C14" s="134">
        <f>COUNTIFS('예비 및 여유차량'!$B$5:$B$24,"O",'예비 및 여유차량'!$I$5:$I$24,"좌식",'예비 및 여유차량'!$J$5:$J$24,"3.0T")</f>
        <v>2</v>
      </c>
      <c r="D14" s="135">
        <f>COUNTIFS('예비 및 여유차량'!$B$5:$B$24,"B",'예비 및 여유차량'!$I$5:$I$24,"좌식",'예비 및 여유차량'!$J$5:$J$24,"3.0T")</f>
        <v>1</v>
      </c>
      <c r="E14" s="135">
        <f>COUNTIFS('예비 및 여유차량'!$B$5:$B$24,"B",'예비 및 여유차량'!$I$5:$I$24,"입식",'예비 및 여유차량'!$J$5:$J$24,"3.0T")</f>
        <v>0</v>
      </c>
      <c r="F14" s="135">
        <f>COUNTIFS('예비 및 여유차량'!$B$5:$B$24,"B",'예비 및 여유차량'!$I$5:$I$24,"핸드파레트",'예비 및 여유차량'!$J$5:$J$24,"3.0T")</f>
        <v>0</v>
      </c>
      <c r="G14" s="136">
        <f>COUNTIFS('예비 및 여유차량'!$B$5:$B$24,"B",'예비 및 여유차량'!$I$5:$I$24,"핸드리프트",'예비 및 여유차량'!$J$5:$J$24,"3.0T")</f>
        <v>0</v>
      </c>
      <c r="H14" s="129">
        <f>COUNTIFS('예비 및 여유차량'!$B$5:$B$24,"B",'예비 및 여유차량'!$I$5:$I$24,"&lt;&gt;핸드리프트",'예비 및 여유차량'!$I$5:$I$24,"&lt;&gt;핸드파레트",'예비 및 여유차량'!$I$5:$I$24,"&lt;&gt;입식",'예비 및 여유차량'!$I$5:$I$24,"&lt;&gt;좌식",'예비 및 여유차량'!$J$5:$J$24,"3.0T")</f>
        <v>0</v>
      </c>
      <c r="I14" s="137">
        <f>COUNTIFS('예비 및 여유차량'!B27:B30,"O",'예비 및 여유차량'!$I$27:$I$30,"좌식",'예비 및 여유차량'!$J$27:$J$30,"3.0T")</f>
        <v>0</v>
      </c>
      <c r="J14" s="135">
        <f>COUNTIFS('예비 및 여유차량'!B27:B30,"B",'예비 및 여유차량'!$I$27:$I$30,"좌식",'예비 및 여유차량'!$J$27:$J$30,"3.0T")</f>
        <v>1</v>
      </c>
      <c r="K14" s="135">
        <f>COUNTIFS('예비 및 여유차량'!B27:B30,"B",'예비 및 여유차량'!$I$27:$I$30,"입식",'예비 및 여유차량'!$J$27:$J$30,"3.0T")</f>
        <v>0</v>
      </c>
      <c r="L14" s="135">
        <f>COUNTIFS('예비 및 여유차량'!B27:B30,"B",'예비 및 여유차량'!$I$27:$I$30,"핸드파레트",'예비 및 여유차량'!$J$27:$J$30,"3.0T")</f>
        <v>0</v>
      </c>
      <c r="M14" s="136">
        <f>COUNTIFS('예비 및 여유차량'!A27:A30,"B",'예비 및 여유차량'!$I$27:$I$30,"핸드리프트",'예비 및 여유차량'!$J$27:$J$30,"3.0T")</f>
        <v>0</v>
      </c>
      <c r="N14" s="138">
        <f>COUNTIFS('예비 및 여유차량'!A31:A34,"B",'예비 및 여유차량'!I31:I34,"&lt;&gt;핸드리프트",'예비 및 여유차량'!I31:I34,"&lt;&gt;핸드파레트",'예비 및 여유차량'!I31:I34,"&lt;&gt;입식",'예비 및 여유차량'!I31:I34,"&lt;&gt;좌식",'예비 및 여유차량'!J31:J34,"3.0T")</f>
        <v>0</v>
      </c>
      <c r="O14" s="137">
        <f>COUNTIFS('예비 및 여유차량'!$B$34:$B$44,"O",'예비 및 여유차량'!$I$34:$I$44,"좌식",'예비 및 여유차량'!$J$34:$J$44,"3.0T")</f>
        <v>1</v>
      </c>
      <c r="P14" s="135">
        <f>COUNTIFS('예비 및 여유차량'!$B$34:$B$44,"B",'예비 및 여유차량'!$I$34:$I$44,"좌식",'예비 및 여유차량'!$J$34:$J$44,"3.0T")</f>
        <v>0</v>
      </c>
      <c r="Q14" s="135">
        <f>COUNTIFS('예비 및 여유차량'!$B$34:$B$44,"B",'예비 및 여유차량'!$I$34:$I$44,"입식",'예비 및 여유차량'!$J$34:$J$44,"3.0T")</f>
        <v>0</v>
      </c>
      <c r="R14" s="135">
        <f>COUNTIFS('예비 및 여유차량'!$B$34:$B$44,"B",'예비 및 여유차량'!$I$34:$I$44,"핸드파레트",'예비 및 여유차량'!$J$34:$J$44,"3.0T")</f>
        <v>0</v>
      </c>
      <c r="S14" s="136">
        <f>COUNTIFS('예비 및 여유차량'!$B$34:$B$44,"B",'예비 및 여유차량'!$I$34:$I$44,"핸드리프트",'예비 및 여유차량'!$J$34:$J$44,"3.0T")</f>
        <v>0</v>
      </c>
      <c r="T14" s="138">
        <f>COUNTIFS('예비 및 여유차량'!$B$34:$B$44,"B",'예비 및 여유차량'!$I$34:$I$44,"&lt;&gt;핸드리프트",'예비 및 여유차량'!$I$34:$I$44,"&lt;&gt;핸드파레트",'예비 및 여유차량'!$I$34:$I$44,"&lt;&gt;입식",'예비 및 여유차량'!$I$34:$I$44,"&lt;&gt;좌식",'예비 및 여유차량'!$J$34:$J$44,"3.0T")</f>
        <v>0</v>
      </c>
      <c r="U14" s="134">
        <f>COUNTIFS('예비 및 여유차량'!$B$55:$B$61,"O",'예비 및 여유차량'!$I$55:$I$61,"좌식",'예비 및 여유차량'!$J$55:$J$61,"3.0T")</f>
        <v>0</v>
      </c>
      <c r="V14" s="135">
        <f>COUNTIFS('예비 및 여유차량'!$B$55:$B$61,"B",'예비 및 여유차량'!$I$55:$I$61,"좌식",'예비 및 여유차량'!$J$55:$J$61,"3.0T")</f>
        <v>0</v>
      </c>
      <c r="W14" s="135">
        <f>COUNTIFS('예비 및 여유차량'!$B$55:$B$61,"B",'예비 및 여유차량'!$I$55:$I$61,"입식",'예비 및 여유차량'!$J$55:$J$61,"3.0T")</f>
        <v>0</v>
      </c>
      <c r="X14" s="135">
        <f>COUNTIFS('예비 및 여유차량'!$B$55:$B$61,"B",'예비 및 여유차량'!$I$55:$I$61,"핸드파레트",'예비 및 여유차량'!$J$55:$J$61,"3.0T")</f>
        <v>0</v>
      </c>
      <c r="Y14" s="136">
        <f>COUNTIFS('예비 및 여유차량'!$B$55:$B$61,"B",'예비 및 여유차량'!$I$55:$I$61,"핸드리프트",'예비 및 여유차량'!$J$55:$J$61,"3.0T")</f>
        <v>0</v>
      </c>
      <c r="Z14" s="138">
        <f>COUNTIFS('예비 및 여유차량'!$B$55:$B$61,"B",'예비 및 여유차량'!$I$55:$I$61,"&lt;&gt;핸드리프트",'예비 및 여유차량'!$I$55:$I$61,"&lt;&gt;핸드파레트",'예비 및 여유차량'!$I$55:$I$61,"&lt;&gt;입식",'예비 및 여유차량'!$I$55:$I$61,"&lt;&gt;좌식",'예비 및 여유차량'!$J$55:$J$61,"3.0T")</f>
        <v>0</v>
      </c>
    </row>
    <row r="15" spans="2:26" x14ac:dyDescent="0.4">
      <c r="B15" s="119" t="s">
        <v>1764</v>
      </c>
      <c r="C15" s="134">
        <f>COUNTIFS('예비 및 여유차량'!$B$5:$B$24,"O",'예비 및 여유차량'!$I$5:$I$24,"좌식",'예비 및 여유차량'!$J$5:$J$24,"3.5T")</f>
        <v>2</v>
      </c>
      <c r="D15" s="135">
        <f>COUNTIFS('예비 및 여유차량'!$B$5:$B$24,"B",'예비 및 여유차량'!$I$5:$I$24,"좌식",'예비 및 여유차량'!$J$5:$J$24,"3.5T")</f>
        <v>0</v>
      </c>
      <c r="E15" s="135">
        <f>COUNTIFS('예비 및 여유차량'!$B$5:$B$24,"B",'예비 및 여유차량'!$I$5:$I$24,"입식",'예비 및 여유차량'!$J$5:$J$24,"3.5T")</f>
        <v>0</v>
      </c>
      <c r="F15" s="135">
        <f>COUNTIFS('예비 및 여유차량'!$B$5:$B$24,"B",'예비 및 여유차량'!$I$5:$I$24,"핸드파레트",'예비 및 여유차량'!$J$5:$J$24,"3.5T")</f>
        <v>0</v>
      </c>
      <c r="G15" s="136">
        <f>COUNTIFS('예비 및 여유차량'!$B$5:$B$24,"B",'예비 및 여유차량'!$I$5:$I$24,"핸드리프트",'예비 및 여유차량'!$J$5:$J$24,"3.5T")</f>
        <v>0</v>
      </c>
      <c r="H15" s="129">
        <f>COUNTIFS('예비 및 여유차량'!$B$5:$B$24,"B",'예비 및 여유차량'!$I$5:$I$24,"&lt;&gt;핸드리프트",'예비 및 여유차량'!$I$5:$I$24,"&lt;&gt;핸드파레트",'예비 및 여유차량'!$I$5:$I$24,"&lt;&gt;입식",'예비 및 여유차량'!$I$5:$I$24,"&lt;&gt;좌식",'예비 및 여유차량'!$J$5:$J$24,"3.5T")</f>
        <v>0</v>
      </c>
      <c r="I15" s="137">
        <f>COUNTIFS('예비 및 여유차량'!B27:B30,"O",'예비 및 여유차량'!$I$27:$I$30,"좌식",'예비 및 여유차량'!$J$27:$J$30,"3.5T")</f>
        <v>0</v>
      </c>
      <c r="J15" s="135">
        <f>COUNTIFS('예비 및 여유차량'!B27:B30,"B",'예비 및 여유차량'!$I$27:$I$30,"좌식",'예비 및 여유차량'!$J$27:$J$30,"3.5T")</f>
        <v>0</v>
      </c>
      <c r="K15" s="135">
        <f>COUNTIFS('예비 및 여유차량'!B27:B30,"B",'예비 및 여유차량'!$I$27:$I$30,"입식",'예비 및 여유차량'!$J$27:$J$30,"3.5T")</f>
        <v>0</v>
      </c>
      <c r="L15" s="135">
        <f>COUNTIFS('예비 및 여유차량'!B27:B30,"B",'예비 및 여유차량'!$I$27:$I$30,"핸드파레트",'예비 및 여유차량'!$J$27:$J$30,"3.5T")</f>
        <v>0</v>
      </c>
      <c r="M15" s="136">
        <f>COUNTIFS('예비 및 여유차량'!A27:A30,"B",'예비 및 여유차량'!$I$27:$I$30,"핸드리프트",'예비 및 여유차량'!$J$27:$J$30,"3.5T")</f>
        <v>0</v>
      </c>
      <c r="N15" s="138">
        <f>COUNTIFS('예비 및 여유차량'!A32:A35,"B",'예비 및 여유차량'!I32:I35,"&lt;&gt;핸드리프트",'예비 및 여유차량'!I32:I35,"&lt;&gt;핸드파레트",'예비 및 여유차량'!I32:I35,"&lt;&gt;입식",'예비 및 여유차량'!I32:I35,"&lt;&gt;좌식",'예비 및 여유차량'!J32:J35,"3.5T")</f>
        <v>0</v>
      </c>
      <c r="O15" s="137">
        <f>COUNTIFS('예비 및 여유차량'!$B$34:$B$44,"O",'예비 및 여유차량'!$I$34:$I$44,"좌식",'예비 및 여유차량'!$J$34:$J$44,"3.5T")</f>
        <v>0</v>
      </c>
      <c r="P15" s="135">
        <f>COUNTIFS('예비 및 여유차량'!$B$34:$B$44,"B",'예비 및 여유차량'!$I$34:$I$44,"좌식",'예비 및 여유차량'!$J$34:$J$44,"3.5T")</f>
        <v>0</v>
      </c>
      <c r="Q15" s="135">
        <f>COUNTIFS('예비 및 여유차량'!$B$34:$B$44,"B",'예비 및 여유차량'!$I$34:$I$44,"입식",'예비 및 여유차량'!$J$34:$J$44,"3.5T")</f>
        <v>0</v>
      </c>
      <c r="R15" s="135">
        <f>COUNTIFS('예비 및 여유차량'!$B$34:$B$44,"B",'예비 및 여유차량'!$I$34:$I$44,"핸드파레트",'예비 및 여유차량'!$J$34:$J$44,"3.5T")</f>
        <v>0</v>
      </c>
      <c r="S15" s="136">
        <f>COUNTIFS('예비 및 여유차량'!$B$34:$B$44,"B",'예비 및 여유차량'!$I$34:$I$44,"핸드리프트",'예비 및 여유차량'!$J$34:$J$44,"3.5T")</f>
        <v>0</v>
      </c>
      <c r="T15" s="138">
        <f>COUNTIFS('예비 및 여유차량'!$B$34:$B$44,"B",'예비 및 여유차량'!$I$34:$I$44,"&lt;&gt;핸드리프트",'예비 및 여유차량'!$I$34:$I$44,"&lt;&gt;핸드파레트",'예비 및 여유차량'!$I$34:$I$44,"&lt;&gt;입식",'예비 및 여유차량'!$I$34:$I$44,"&lt;&gt;좌식",'예비 및 여유차량'!$J$34:$J$44,"3.5T")</f>
        <v>0</v>
      </c>
      <c r="U15" s="134">
        <f>COUNTIFS('예비 및 여유차량'!$B$55:$B$61,"O",'예비 및 여유차량'!$I$55:$I$61,"좌식",'예비 및 여유차량'!$J$55:$J$61,"3.5T")</f>
        <v>0</v>
      </c>
      <c r="V15" s="135">
        <f>COUNTIFS('예비 및 여유차량'!$B$55:$B$61,"B",'예비 및 여유차량'!$I$55:$I$61,"좌식",'예비 및 여유차량'!$J$55:$J$61,"3.5T")</f>
        <v>0</v>
      </c>
      <c r="W15" s="135">
        <f>COUNTIFS('예비 및 여유차량'!$B$55:$B$61,"B",'예비 및 여유차량'!$I$55:$I$61,"입식",'예비 및 여유차량'!$J$55:$J$61,"3.5T")</f>
        <v>0</v>
      </c>
      <c r="X15" s="135">
        <f>COUNTIFS('예비 및 여유차량'!$B$55:$B$61,"B",'예비 및 여유차량'!$I$55:$I$61,"핸드파레트",'예비 및 여유차량'!$J$55:$J$61,"3.5T")</f>
        <v>0</v>
      </c>
      <c r="Y15" s="136">
        <f>COUNTIFS('예비 및 여유차량'!$B$55:$B$61,"B",'예비 및 여유차량'!$I$55:$I$61,"핸드리프트",'예비 및 여유차량'!$J$55:$J$61,"3.5T")</f>
        <v>0</v>
      </c>
      <c r="Z15" s="138">
        <f>COUNTIFS('예비 및 여유차량'!$B$55:$B$61,"B",'예비 및 여유차량'!$I$55:$I$61,"&lt;&gt;핸드리프트",'예비 및 여유차량'!$I$55:$I$61,"&lt;&gt;핸드파레트",'예비 및 여유차량'!$I$55:$I$61,"&lt;&gt;입식",'예비 및 여유차량'!$I$55:$I$61,"&lt;&gt;좌식",'예비 및 여유차량'!$J$55:$J$61,"3.5T")</f>
        <v>0</v>
      </c>
    </row>
    <row r="16" spans="2:26" x14ac:dyDescent="0.4">
      <c r="B16" s="119" t="s">
        <v>1765</v>
      </c>
      <c r="C16" s="134">
        <f>COUNTIFS('예비 및 여유차량'!$B$5:$B$24,"O",'예비 및 여유차량'!$I$5:$I$24,"좌식",'예비 및 여유차량'!$J$5:$J$24,"4.0T")</f>
        <v>1</v>
      </c>
      <c r="D16" s="135">
        <f>COUNTIFS('예비 및 여유차량'!$B$5:$B$24,"B",'예비 및 여유차량'!$I$5:$I$24,"좌식",'예비 및 여유차량'!$J$5:$J$24,"4.0T")</f>
        <v>0</v>
      </c>
      <c r="E16" s="135">
        <f>COUNTIFS('예비 및 여유차량'!$B$5:$B$24,"B",'예비 및 여유차량'!$I$5:$I$24,"입식",'예비 및 여유차량'!$J$5:$J$24,"4.0T")</f>
        <v>0</v>
      </c>
      <c r="F16" s="135">
        <f>COUNTIFS('예비 및 여유차량'!$B$5:$B$24,"B",'예비 및 여유차량'!$I$5:$I$24,"핸드파레트",'예비 및 여유차량'!$J$5:$J$24,"4.0T")</f>
        <v>0</v>
      </c>
      <c r="G16" s="136">
        <f>COUNTIFS('예비 및 여유차량'!$B$5:$B$24,"B",'예비 및 여유차량'!$I$5:$I$24,"핸드리프트",'예비 및 여유차량'!$J$5:$J$24,"4.0T")</f>
        <v>0</v>
      </c>
      <c r="H16" s="129">
        <f>COUNTIFS('예비 및 여유차량'!$B$5:$B$24,"B",'예비 및 여유차량'!$I$5:$I$24,"&lt;&gt;핸드리프트",'예비 및 여유차량'!$I$5:$I$24,"&lt;&gt;핸드파레트",'예비 및 여유차량'!$I$5:$I$24,"&lt;&gt;입식",'예비 및 여유차량'!$I$5:$I$24,"&lt;&gt;좌식",'예비 및 여유차량'!$J$5:$J$24,"4.0T")</f>
        <v>0</v>
      </c>
      <c r="I16" s="137">
        <f>COUNTIFS('예비 및 여유차량'!B27:B30,"O",'예비 및 여유차량'!$I$27:$I$30,"좌식",'예비 및 여유차량'!$J$27:$J$30,"4.0T")</f>
        <v>0</v>
      </c>
      <c r="J16" s="135">
        <f>COUNTIFS('예비 및 여유차량'!B27:B30,"B",'예비 및 여유차량'!$I$27:$I$30,"좌식",'예비 및 여유차량'!$J$27:$J$30,"4.0T")</f>
        <v>0</v>
      </c>
      <c r="K16" s="135">
        <f>COUNTIFS('예비 및 여유차량'!B27:B30,"B",'예비 및 여유차량'!$I$27:$I$30,"입식",'예비 및 여유차량'!$J$27:$J$30,"4.0T")</f>
        <v>0</v>
      </c>
      <c r="L16" s="135">
        <f>COUNTIFS('예비 및 여유차량'!B27:B30,"B",'예비 및 여유차량'!$I$27:$I$30,"핸드파레트",'예비 및 여유차량'!$J$27:$J$30,"4.0T")</f>
        <v>0</v>
      </c>
      <c r="M16" s="136">
        <f>COUNTIFS('예비 및 여유차량'!A27:A30,"B",'예비 및 여유차량'!$I$27:$I$30,"핸드리프트",'예비 및 여유차량'!$J$27:$J$30,"4.0T")</f>
        <v>0</v>
      </c>
      <c r="N16" s="138">
        <f>COUNTIFS('예비 및 여유차량'!A33:A35,"B",'예비 및 여유차량'!I33:I35,"&lt;&gt;핸드리프트",'예비 및 여유차량'!I33:I35,"&lt;&gt;핸드파레트",'예비 및 여유차량'!I33:I35,"&lt;&gt;입식",'예비 및 여유차량'!I33:I35,"&lt;&gt;좌식",'예비 및 여유차량'!J33:J35,"4.0T")</f>
        <v>0</v>
      </c>
      <c r="O16" s="137">
        <f>COUNTIFS('예비 및 여유차량'!$B$34:$B$44,"O",'예비 및 여유차량'!$I$34:$I$44,"좌식",'예비 및 여유차량'!$J$34:$J$44,"4.0T")</f>
        <v>0</v>
      </c>
      <c r="P16" s="135">
        <f>COUNTIFS('예비 및 여유차량'!$B$34:$B$44,"B",'예비 및 여유차량'!$I$34:$I$44,"좌식",'예비 및 여유차량'!$J$34:$J$44,"4.0T")</f>
        <v>0</v>
      </c>
      <c r="Q16" s="135">
        <f>COUNTIFS('예비 및 여유차량'!$B$34:$B$44,"B",'예비 및 여유차량'!$I$34:$I$44,"입식",'예비 및 여유차량'!$J$34:$J$44,"4.0T")</f>
        <v>0</v>
      </c>
      <c r="R16" s="135">
        <f>COUNTIFS('예비 및 여유차량'!$B$34:$B$44,"B",'예비 및 여유차량'!$I$34:$I$44,"핸드파레트",'예비 및 여유차량'!$J$34:$J$44,"4.0T")</f>
        <v>0</v>
      </c>
      <c r="S16" s="136">
        <f>COUNTIFS('예비 및 여유차량'!$B$34:$B$44,"B",'예비 및 여유차량'!$I$34:$I$44,"핸드리프트",'예비 및 여유차량'!$J$34:$J$44,"4.0T")</f>
        <v>0</v>
      </c>
      <c r="T16" s="138">
        <f>COUNTIFS('예비 및 여유차량'!$B$34:$B$44,"B",'예비 및 여유차량'!$I$34:$I$44,"&lt;&gt;핸드리프트",'예비 및 여유차량'!$I$34:$I$44,"&lt;&gt;핸드파레트",'예비 및 여유차량'!$I$34:$I$44,"&lt;&gt;입식",'예비 및 여유차량'!$I$34:$I$44,"&lt;&gt;좌식",'예비 및 여유차량'!$J$34:$J$44,"4.0T")</f>
        <v>0</v>
      </c>
      <c r="U16" s="134">
        <f>COUNTIFS('예비 및 여유차량'!$B$55:$B$61,"O",'예비 및 여유차량'!$I$55:$I$61,"좌식",'예비 및 여유차량'!$J$55:$J$61,"4.0T")</f>
        <v>0</v>
      </c>
      <c r="V16" s="135">
        <f>COUNTIFS('예비 및 여유차량'!$B$55:$B$61,"B",'예비 및 여유차량'!$I$55:$I$61,"좌식",'예비 및 여유차량'!$J$55:$J$61,"4.0T")</f>
        <v>0</v>
      </c>
      <c r="W16" s="135">
        <f>COUNTIFS('예비 및 여유차량'!$B$55:$B$61,"B",'예비 및 여유차량'!$I$55:$I$61,"입식",'예비 및 여유차량'!$J$55:$J$61,"4.0T")</f>
        <v>0</v>
      </c>
      <c r="X16" s="135">
        <f>COUNTIFS('예비 및 여유차량'!$B$55:$B$61,"B",'예비 및 여유차량'!$I$55:$I$61,"핸드파레트",'예비 및 여유차량'!$J$55:$J$61,"4.0T")</f>
        <v>0</v>
      </c>
      <c r="Y16" s="136">
        <f>COUNTIFS('예비 및 여유차량'!$B$55:$B$61,"B",'예비 및 여유차량'!$I$55:$I$61,"핸드리프트",'예비 및 여유차량'!$J$55:$J$61,"4.0T")</f>
        <v>0</v>
      </c>
      <c r="Z16" s="138">
        <f>COUNTIFS('예비 및 여유차량'!$B$55:$B$61,"B",'예비 및 여유차량'!$I$55:$I$61,"&lt;&gt;핸드리프트",'예비 및 여유차량'!$I$55:$I$61,"&lt;&gt;핸드파레트",'예비 및 여유차량'!$I$55:$I$61,"&lt;&gt;입식",'예비 및 여유차량'!$I$55:$I$61,"&lt;&gt;좌식",'예비 및 여유차량'!$J$55:$J$61,"4.0T")</f>
        <v>0</v>
      </c>
    </row>
    <row r="17" spans="2:27" x14ac:dyDescent="0.4">
      <c r="B17" s="119" t="s">
        <v>1766</v>
      </c>
      <c r="C17" s="134">
        <f>COUNTIFS('예비 및 여유차량'!$B$5:$B$24,"O",'예비 및 여유차량'!$I$5:$I$24,"좌식",'예비 및 여유차량'!$J$5:$J$24,"4.5T")</f>
        <v>3</v>
      </c>
      <c r="D17" s="135">
        <f>COUNTIFS('예비 및 여유차량'!$B$5:$B$24,"B",'예비 및 여유차량'!$I$5:$I$24,"좌식",'예비 및 여유차량'!$J$5:$J$24,"4.5T")</f>
        <v>0</v>
      </c>
      <c r="E17" s="135">
        <f>COUNTIFS('예비 및 여유차량'!$B$5:$B$24,"B",'예비 및 여유차량'!$I$5:$I$24,"입식",'예비 및 여유차량'!$J$5:$J$24,"4.5T")</f>
        <v>0</v>
      </c>
      <c r="F17" s="135">
        <f>COUNTIFS('예비 및 여유차량'!$B$5:$B$24,"B",'예비 및 여유차량'!$I$5:$I$24,"핸드파레트",'예비 및 여유차량'!$J$5:$J$24,"4.5T")</f>
        <v>0</v>
      </c>
      <c r="G17" s="136">
        <f>COUNTIFS('예비 및 여유차량'!$B$5:$B$24,"B",'예비 및 여유차량'!$I$5:$I$24,"핸드리프트",'예비 및 여유차량'!$J$5:$J$24,"4.5T")</f>
        <v>0</v>
      </c>
      <c r="H17" s="129">
        <f>COUNTIFS('예비 및 여유차량'!$B$5:$B$24,"B",'예비 및 여유차량'!$I$5:$I$24,"&lt;&gt;핸드리프트",'예비 및 여유차량'!$I$5:$I$24,"&lt;&gt;핸드파레트",'예비 및 여유차량'!$I$5:$I$24,"&lt;&gt;입식",'예비 및 여유차량'!$I$5:$I$24,"&lt;&gt;좌식",'예비 및 여유차량'!$J$5:$J$24,"4.5T")</f>
        <v>0</v>
      </c>
      <c r="I17" s="137">
        <f>COUNTIFS('예비 및 여유차량'!B27:B30,"O",'예비 및 여유차량'!$I$27:$I$30,"좌식",'예비 및 여유차량'!$J$27:$J$30,"4.5T")</f>
        <v>0</v>
      </c>
      <c r="J17" s="135">
        <f>COUNTIFS('예비 및 여유차량'!B27:B30,"B",'예비 및 여유차량'!$I$27:$I$30,"좌식",'예비 및 여유차량'!$J$27:$J$30,"4.5T")</f>
        <v>0</v>
      </c>
      <c r="K17" s="135">
        <f>COUNTIFS('예비 및 여유차량'!B27:B30,"B",'예비 및 여유차량'!$I$27:$I$30,"입식",'예비 및 여유차량'!$J$27:$J$30,"4.5T")</f>
        <v>0</v>
      </c>
      <c r="L17" s="135">
        <f>COUNTIFS('예비 및 여유차량'!B27:B30,"B",'예비 및 여유차량'!$I$27:$I$30,"핸드파레트",'예비 및 여유차량'!$J$27:$J$30,"4.5T")</f>
        <v>0</v>
      </c>
      <c r="M17" s="136">
        <f>COUNTIFS('예비 및 여유차량'!A27:A30,"B",'예비 및 여유차량'!$I$27:$I$30,"핸드리프트",'예비 및 여유차량'!$J$27:$J$30,"4.5T")</f>
        <v>0</v>
      </c>
      <c r="N17" s="138">
        <f>COUNTIFS('예비 및 여유차량'!A34:A37,"B",'예비 및 여유차량'!I34:I37,"&lt;&gt;핸드리프트",'예비 및 여유차량'!I34:I37,"&lt;&gt;핸드파레트",'예비 및 여유차량'!I34:I37,"&lt;&gt;입식",'예비 및 여유차량'!I34:I37,"&lt;&gt;좌식",'예비 및 여유차량'!J34:J37,"4.5T")</f>
        <v>0</v>
      </c>
      <c r="O17" s="137">
        <f>COUNTIFS('예비 및 여유차량'!$B$34:$B$44,"O",'예비 및 여유차량'!$I$34:$I$44,"좌식",'예비 및 여유차량'!$J$34:$J$44,"4.5T")</f>
        <v>2</v>
      </c>
      <c r="P17" s="135">
        <f>COUNTIFS('예비 및 여유차량'!$B$34:$B$44,"B",'예비 및 여유차량'!$I$34:$I$44,"좌식",'예비 및 여유차량'!$J$34:$J$44,"4.5T")</f>
        <v>0</v>
      </c>
      <c r="Q17" s="135">
        <f>COUNTIFS('예비 및 여유차량'!$B$34:$B$44,"B",'예비 및 여유차량'!$I$34:$I$44,"입식",'예비 및 여유차량'!$J$34:$J$44,"4.5T")</f>
        <v>0</v>
      </c>
      <c r="R17" s="135">
        <f>COUNTIFS('예비 및 여유차량'!$B$34:$B$44,"B",'예비 및 여유차량'!$I$34:$I$44,"핸드파레트",'예비 및 여유차량'!$J$34:$J$44,"4.5T")</f>
        <v>0</v>
      </c>
      <c r="S17" s="136">
        <f>COUNTIFS('예비 및 여유차량'!$B$34:$B$44,"B",'예비 및 여유차량'!$I$34:$I$44,"핸드리프트",'예비 및 여유차량'!$J$34:$J$44,"4.5T")</f>
        <v>0</v>
      </c>
      <c r="T17" s="138">
        <f>COUNTIFS('예비 및 여유차량'!$B$34:$B$44,"B",'예비 및 여유차량'!$I$34:$I$44,"&lt;&gt;핸드리프트",'예비 및 여유차량'!$I$34:$I$44,"&lt;&gt;핸드파레트",'예비 및 여유차량'!$I$34:$I$44,"&lt;&gt;입식",'예비 및 여유차량'!$I$34:$I$44,"&lt;&gt;좌식",'예비 및 여유차량'!$J$34:$J$44,"4.5T")</f>
        <v>0</v>
      </c>
      <c r="U17" s="134">
        <f>COUNTIFS('예비 및 여유차량'!$B$55:$B$61,"O",'예비 및 여유차량'!$I$55:$I$61,"좌식",'예비 및 여유차량'!$J$55:$J$61,"4.5T")</f>
        <v>0</v>
      </c>
      <c r="V17" s="135">
        <f>COUNTIFS('예비 및 여유차량'!$B$55:$B$61,"B",'예비 및 여유차량'!$I$55:$I$61,"좌식",'예비 및 여유차량'!$J$55:$J$61,"4.5T")</f>
        <v>0</v>
      </c>
      <c r="W17" s="135">
        <f>COUNTIFS('예비 및 여유차량'!$B$55:$B$61,"B",'예비 및 여유차량'!$I$55:$I$61,"입식",'예비 및 여유차량'!$J$55:$J$61,"4.5T")</f>
        <v>0</v>
      </c>
      <c r="X17" s="135">
        <f>COUNTIFS('예비 및 여유차량'!$B$55:$B$61,"B",'예비 및 여유차량'!$I$55:$I$61,"핸드파레트",'예비 및 여유차량'!$J$55:$J$61,"4.5T")</f>
        <v>0</v>
      </c>
      <c r="Y17" s="136">
        <f>COUNTIFS('예비 및 여유차량'!$B$55:$B$61,"B",'예비 및 여유차량'!$I$55:$I$61,"핸드리프트",'예비 및 여유차량'!$J$55:$J$61,"4.5T")</f>
        <v>0</v>
      </c>
      <c r="Z17" s="138">
        <f>COUNTIFS('예비 및 여유차량'!$B$55:$B$61,"B",'예비 및 여유차량'!$I$55:$I$61,"&lt;&gt;핸드리프트",'예비 및 여유차량'!$I$55:$I$61,"&lt;&gt;핸드파레트",'예비 및 여유차량'!$I$55:$I$61,"&lt;&gt;입식",'예비 및 여유차량'!$I$55:$I$61,"&lt;&gt;좌식",'예비 및 여유차량'!$J$55:$J$61,"4.5T")</f>
        <v>0</v>
      </c>
    </row>
    <row r="18" spans="2:27" x14ac:dyDescent="0.4">
      <c r="B18" s="119" t="s">
        <v>1767</v>
      </c>
      <c r="C18" s="134">
        <f>COUNTIFS('예비 및 여유차량'!$B$5:$B$24,"O",'예비 및 여유차량'!$I$5:$I$24,"좌식",'예비 및 여유차량'!$J$5:$J$24,"5.0T")</f>
        <v>0</v>
      </c>
      <c r="D18" s="135">
        <f>COUNTIFS('예비 및 여유차량'!$B$5:$B$24,"B",'예비 및 여유차량'!$I$5:$I$24,"좌식",'예비 및 여유차량'!$J$5:$J$24,"5.0T")</f>
        <v>0</v>
      </c>
      <c r="E18" s="135">
        <f>COUNTIFS('예비 및 여유차량'!$B$5:$B$24,"B",'예비 및 여유차량'!$I$5:$I$24,"입식",'예비 및 여유차량'!$J$5:$J$24,"5.0T")</f>
        <v>0</v>
      </c>
      <c r="F18" s="135">
        <f>COUNTIFS('예비 및 여유차량'!$B$5:$B$24,"B",'예비 및 여유차량'!$I$5:$I$24,"핸드파레트",'예비 및 여유차량'!$J$5:$J$24,"5.0T")</f>
        <v>0</v>
      </c>
      <c r="G18" s="136">
        <f>COUNTIFS('예비 및 여유차량'!$B$5:$B$24,"B",'예비 및 여유차량'!$I$5:$I$24,"핸드리프트",'예비 및 여유차량'!$J$5:$J$24,"5.0T")</f>
        <v>0</v>
      </c>
      <c r="H18" s="129">
        <f>COUNTIFS('예비 및 여유차량'!$B$5:$B$24,"B",'예비 및 여유차량'!$I$5:$I$24,"&lt;&gt;핸드리프트",'예비 및 여유차량'!$I$5:$I$24,"&lt;&gt;핸드파레트",'예비 및 여유차량'!$I$5:$I$24,"&lt;&gt;입식",'예비 및 여유차량'!$I$5:$I$24,"&lt;&gt;좌식",'예비 및 여유차량'!$J$5:$J$24,"5.0T")</f>
        <v>0</v>
      </c>
      <c r="I18" s="137">
        <f>COUNTIFS('예비 및 여유차량'!B27:B30,"O",'예비 및 여유차량'!$I$27:$I$30,"좌식",'예비 및 여유차량'!$J$27:$J$30,"5.0T")</f>
        <v>0</v>
      </c>
      <c r="J18" s="135">
        <f>COUNTIFS('예비 및 여유차량'!B27:B30,"B",'예비 및 여유차량'!$I$27:$I$30,"좌식",'예비 및 여유차량'!$J$27:$J$30,"5.0T")</f>
        <v>0</v>
      </c>
      <c r="K18" s="135">
        <f>COUNTIFS('예비 및 여유차량'!B27:B30,"B",'예비 및 여유차량'!$I$27:$I$30,"입식",'예비 및 여유차량'!$J$27:$J$30,"5.0T")</f>
        <v>0</v>
      </c>
      <c r="L18" s="135">
        <f>COUNTIFS('예비 및 여유차량'!B27:B30,"B",'예비 및 여유차량'!$I$27:$I$30,"핸드파레트",'예비 및 여유차량'!$J$27:$J$30,"5.0T")</f>
        <v>0</v>
      </c>
      <c r="M18" s="136">
        <f>COUNTIFS('예비 및 여유차량'!A27:A30,"B",'예비 및 여유차량'!$I$27:$I$30,"핸드리프트",'예비 및 여유차량'!$J$27:$J$30,"5.0T")</f>
        <v>0</v>
      </c>
      <c r="N18" s="138">
        <f>COUNTIFS('예비 및 여유차량'!A35:A38,"B",'예비 및 여유차량'!I35:I38,"&lt;&gt;핸드리프트",'예비 및 여유차량'!I35:I38,"&lt;&gt;핸드파레트",'예비 및 여유차량'!I35:I38,"&lt;&gt;입식",'예비 및 여유차량'!I35:I38,"&lt;&gt;좌식",'예비 및 여유차량'!J35:J38,"5.0T")</f>
        <v>0</v>
      </c>
      <c r="O18" s="137">
        <f>COUNTIFS('예비 및 여유차량'!$B$34:$B$44,"O",'예비 및 여유차량'!$I$34:$I$44,"좌식",'예비 및 여유차량'!$J$34:$J$44,"5.0T")</f>
        <v>1</v>
      </c>
      <c r="P18" s="135">
        <f>COUNTIFS('예비 및 여유차량'!$B$34:$B$44,"B",'예비 및 여유차량'!$I$34:$I$44,"좌식",'예비 및 여유차량'!$J$34:$J$44,"5.0T")</f>
        <v>1</v>
      </c>
      <c r="Q18" s="135">
        <f>COUNTIFS('예비 및 여유차량'!$B$34:$B$44,"B",'예비 및 여유차량'!$I$34:$I$44,"입식",'예비 및 여유차량'!$J$34:$J$44,"5.0T")</f>
        <v>0</v>
      </c>
      <c r="R18" s="135">
        <f>COUNTIFS('예비 및 여유차량'!$B$34:$B$44,"B",'예비 및 여유차량'!$I$34:$I$44,"핸드파레트",'예비 및 여유차량'!$J$34:$J$44,"5.0T")</f>
        <v>0</v>
      </c>
      <c r="S18" s="136">
        <f>COUNTIFS('예비 및 여유차량'!$B$34:$B$44,"B",'예비 및 여유차량'!$I$34:$I$44,"핸드리프트",'예비 및 여유차량'!$J$34:$J$44,"5.0T")</f>
        <v>0</v>
      </c>
      <c r="T18" s="138">
        <f>COUNTIFS('예비 및 여유차량'!$B$34:$B$44,"B",'예비 및 여유차량'!$I$34:$I$44,"&lt;&gt;핸드리프트",'예비 및 여유차량'!$I$34:$I$44,"&lt;&gt;핸드파레트",'예비 및 여유차량'!$I$34:$I$44,"&lt;&gt;입식",'예비 및 여유차량'!$I$34:$I$44,"&lt;&gt;좌식",'예비 및 여유차량'!$J$34:$J$44,"5.0T")</f>
        <v>0</v>
      </c>
      <c r="U18" s="134">
        <f>COUNTIFS('예비 및 여유차량'!$B$55:$B$61,"O",'예비 및 여유차량'!$I$55:$I$61,"좌식",'예비 및 여유차량'!$J$55:$J$61,"5.0T")</f>
        <v>0</v>
      </c>
      <c r="V18" s="135">
        <f>COUNTIFS('예비 및 여유차량'!$B$55:$B$61,"B",'예비 및 여유차량'!$I$55:$I$61,"좌식",'예비 및 여유차량'!$J$55:$J$61,"5.0T")</f>
        <v>0</v>
      </c>
      <c r="W18" s="135">
        <f>COUNTIFS('예비 및 여유차량'!$B$55:$B$61,"B",'예비 및 여유차량'!$I$55:$I$61,"입식",'예비 및 여유차량'!$J$55:$J$61,"5.0T")</f>
        <v>0</v>
      </c>
      <c r="X18" s="135">
        <f>COUNTIFS('예비 및 여유차량'!$B$55:$B$61,"B",'예비 및 여유차량'!$I$55:$I$61,"핸드파레트",'예비 및 여유차량'!$J$55:$J$61,"5.0T")</f>
        <v>0</v>
      </c>
      <c r="Y18" s="136">
        <f>COUNTIFS('예비 및 여유차량'!$B$55:$B$61,"B",'예비 및 여유차량'!$I$55:$I$61,"핸드리프트",'예비 및 여유차량'!$J$55:$J$61,"5.0T")</f>
        <v>0</v>
      </c>
      <c r="Z18" s="138">
        <f>COUNTIFS('예비 및 여유차량'!$B$55:$B$61,"B",'예비 및 여유차량'!$I$55:$I$61,"&lt;&gt;핸드리프트",'예비 및 여유차량'!$I$55:$I$61,"&lt;&gt;핸드파레트",'예비 및 여유차량'!$I$55:$I$61,"&lt;&gt;입식",'예비 및 여유차량'!$I$55:$I$61,"&lt;&gt;좌식",'예비 및 여유차량'!$J$55:$J$61,"5.0T")</f>
        <v>0</v>
      </c>
    </row>
    <row r="19" spans="2:27" x14ac:dyDescent="0.4">
      <c r="B19" s="125" t="s">
        <v>1768</v>
      </c>
      <c r="C19" s="139">
        <f>COUNTIFS('예비 및 여유차량'!$B$5:$B$24,"O",'예비 및 여유차량'!$I$5:$I$24,"좌식",'예비 및 여유차량'!$J$5:$J$24,"7.0T")</f>
        <v>0</v>
      </c>
      <c r="D19" s="140">
        <f>COUNTIFS('예비 및 여유차량'!$B$5:$B$24,"B",'예비 및 여유차량'!$I$5:$I$24,"좌식",'예비 및 여유차량'!$J$5:$J$24,"7.0T")</f>
        <v>0</v>
      </c>
      <c r="E19" s="140">
        <f>COUNTIFS('예비 및 여유차량'!$B$5:$B$24,"B",'예비 및 여유차량'!$I$5:$I$24,"입식",'예비 및 여유차량'!$J$5:$J$24,"7.0T")</f>
        <v>0</v>
      </c>
      <c r="F19" s="140">
        <f>COUNTIFS('예비 및 여유차량'!$B$5:$B$24,"B",'예비 및 여유차량'!$I$5:$I$24,"핸드파레트",'예비 및 여유차량'!$J$5:$J$24,"7.0T")</f>
        <v>0</v>
      </c>
      <c r="G19" s="141">
        <f>COUNTIFS('예비 및 여유차량'!$B$5:$B$24,"B",'예비 및 여유차량'!$I$5:$I$24,"핸드리프트",'예비 및 여유차량'!$J$5:$J$24,"7.0T")</f>
        <v>0</v>
      </c>
      <c r="H19" s="129">
        <f>COUNTIFS('예비 및 여유차량'!$B$5:$B$24,"B",'예비 및 여유차량'!$I$5:$I$24,"&lt;&gt;핸드리프트",'예비 및 여유차량'!$I$5:$I$24,"&lt;&gt;핸드파레트",'예비 및 여유차량'!$I$5:$I$24,"&lt;&gt;입식",'예비 및 여유차량'!$I$5:$I$24,"&lt;&gt;좌식",'예비 및 여유차량'!$J$5:$J$24,"7.0T")</f>
        <v>2</v>
      </c>
      <c r="I19" s="142">
        <f>COUNTIFS('예비 및 여유차량'!B27:B30,"O",'예비 및 여유차량'!$I$27:$I$30,"좌식",'예비 및 여유차량'!$J$27:$J$30,"7.0T")</f>
        <v>1</v>
      </c>
      <c r="J19" s="140">
        <f>COUNTIFS('예비 및 여유차량'!B27:B30,"B",'예비 및 여유차량'!$I$27:$I$30,"좌식",'예비 및 여유차량'!$J$27:$J$30,"7.0T")</f>
        <v>0</v>
      </c>
      <c r="K19" s="140">
        <f>COUNTIFS('예비 및 여유차량'!B27:B30,"B",'예비 및 여유차량'!$I$27:$I$30,"입식",'예비 및 여유차량'!$J$27:$J$30,"7.0T")</f>
        <v>0</v>
      </c>
      <c r="L19" s="140">
        <f>COUNTIFS('예비 및 여유차량'!B27:B30,"B",'예비 및 여유차량'!$I$27:$I$30,"핸드파레트",'예비 및 여유차량'!$J$27:$J$30,"7.0T")</f>
        <v>0</v>
      </c>
      <c r="M19" s="141">
        <f>COUNTIFS('예비 및 여유차량'!A27:A30,"B",'예비 및 여유차량'!$I$27:$I$30,"핸드리프트",'예비 및 여유차량'!$J$27:$J$30,"7.0T")</f>
        <v>0</v>
      </c>
      <c r="N19" s="143">
        <f>COUNTIFS('예비 및 여유차량'!A37:A39,"B",'예비 및 여유차량'!I37:I39,"&lt;&gt;핸드리프트",'예비 및 여유차량'!I37:I39,"&lt;&gt;핸드파레트",'예비 및 여유차량'!I37:I39,"&lt;&gt;입식",'예비 및 여유차량'!I37:I39,"&lt;&gt;좌식",'예비 및 여유차량'!J37:J39,"7.0T")</f>
        <v>0</v>
      </c>
      <c r="O19" s="142">
        <f>COUNTIFS('예비 및 여유차량'!$B$34:$B$44,"O",'예비 및 여유차량'!$I$34:$I$44,"좌식",'예비 및 여유차량'!$J$34:$J$44,"7.0T")</f>
        <v>0</v>
      </c>
      <c r="P19" s="140">
        <f>COUNTIFS('예비 및 여유차량'!$B$34:$B$44,"B",'예비 및 여유차량'!$I$34:$I$44,"좌식",'예비 및 여유차량'!$J$34:$J$44,"7.0T")</f>
        <v>0</v>
      </c>
      <c r="Q19" s="140">
        <f>COUNTIFS('예비 및 여유차량'!$B$34:$B$44,"B",'예비 및 여유차량'!$I$34:$I$44,"입식",'예비 및 여유차량'!$J$34:$J$44,"7.0T")</f>
        <v>0</v>
      </c>
      <c r="R19" s="140">
        <f>COUNTIFS('예비 및 여유차량'!$B$34:$B$44,"B",'예비 및 여유차량'!$I$34:$I$44,"핸드파레트",'예비 및 여유차량'!$J$34:$J$44,"7.0T")</f>
        <v>0</v>
      </c>
      <c r="S19" s="141">
        <f>COUNTIFS('예비 및 여유차량'!$B$34:$B$44,"B",'예비 및 여유차량'!$I$34:$I$44,"핸드리프트",'예비 및 여유차량'!$J$34:$J$44,"7.0T")</f>
        <v>0</v>
      </c>
      <c r="T19" s="143">
        <f>COUNTIFS('예비 및 여유차량'!$B$34:$B$44,"B",'예비 및 여유차량'!$I$34:$I$44,"&lt;&gt;핸드리프트",'예비 및 여유차량'!$I$34:$I$44,"&lt;&gt;핸드파레트",'예비 및 여유차량'!$I$34:$I$44,"&lt;&gt;입식",'예비 및 여유차량'!$I$34:$I$44,"&lt;&gt;좌식",'예비 및 여유차량'!$J$34:$J$44,"7.0T")</f>
        <v>1</v>
      </c>
      <c r="U19" s="139">
        <f>COUNTIFS('예비 및 여유차량'!$B$55:$B$61,"O",'예비 및 여유차량'!$I$55:$I$61,"좌식",'예비 및 여유차량'!$J$55:$J$61,"7.0T")</f>
        <v>0</v>
      </c>
      <c r="V19" s="140">
        <f>COUNTIFS('예비 및 여유차량'!$B$55:$B$61,"B",'예비 및 여유차량'!$I$55:$I$61,"좌식",'예비 및 여유차량'!$J$55:$J$61,"7.0T")</f>
        <v>0</v>
      </c>
      <c r="W19" s="140">
        <f>COUNTIFS('예비 및 여유차량'!$B$55:$B$61,"B",'예비 및 여유차량'!$I$55:$I$61,"입식",'예비 및 여유차량'!$J$55:$J$61,"7.0T")</f>
        <v>0</v>
      </c>
      <c r="X19" s="140">
        <f>COUNTIFS('예비 및 여유차량'!$B$55:$B$61,"B",'예비 및 여유차량'!$I$55:$I$61,"핸드파레트",'예비 및 여유차량'!$J$55:$J$61,"7.0T")</f>
        <v>0</v>
      </c>
      <c r="Y19" s="141">
        <f>COUNTIFS('예비 및 여유차량'!$B$55:$B$61,"B",'예비 및 여유차량'!$I$55:$I$61,"핸드리프트",'예비 및 여유차량'!$J$55:$J$61,"7.0T")</f>
        <v>0</v>
      </c>
      <c r="Z19" s="143">
        <f>COUNTIFS('예비 및 여유차량'!$B$55:$B$61,"B",'예비 및 여유차량'!$I$55:$I$61,"&lt;&gt;핸드리프트",'예비 및 여유차량'!$I$55:$I$61,"&lt;&gt;핸드파레트",'예비 및 여유차량'!$I$55:$I$61,"&lt;&gt;입식",'예비 및 여유차량'!$I$55:$I$61,"&lt;&gt;좌식",'예비 및 여유차량'!$J$55:$J$61,"7.0T")</f>
        <v>0</v>
      </c>
    </row>
    <row r="20" spans="2:27" ht="18" thickBot="1" x14ac:dyDescent="0.45">
      <c r="B20" s="150" t="s">
        <v>1871</v>
      </c>
      <c r="C20" s="139">
        <f>COUNTIFS('예비 및 여유차량'!$B$5:$B$24,"O",'예비 및 여유차량'!$I$5:$I$24,"좌식",'예비 및 여유차량'!$J$5:$J$24,"16T")</f>
        <v>0</v>
      </c>
      <c r="D20" s="140">
        <f>COUNTIFS('예비 및 여유차량'!$B$5:$B$24,"B",'예비 및 여유차량'!$I$5:$I$24,"좌식",'예비 및 여유차량'!$J$5:$J$24,"16T")</f>
        <v>0</v>
      </c>
      <c r="E20" s="140">
        <f>COUNTIFS('예비 및 여유차량'!$B$5:$B$24,"B",'예비 및 여유차량'!$I$5:$I$24,"입식",'예비 및 여유차량'!$J$5:$J$24,"16T")</f>
        <v>0</v>
      </c>
      <c r="F20" s="140">
        <f>COUNTIFS('예비 및 여유차량'!$B$5:$B$24,"B",'예비 및 여유차량'!$I$5:$I$24,"핸드파레트",'예비 및 여유차량'!$J$5:$J$24,"16T")</f>
        <v>0</v>
      </c>
      <c r="G20" s="141">
        <f>COUNTIFS('예비 및 여유차량'!$B$5:$B$24,"B",'예비 및 여유차량'!$I$5:$I$24,"핸드리프트",'예비 및 여유차량'!$J$5:$J$24,"16T")</f>
        <v>0</v>
      </c>
      <c r="H20" s="129">
        <f>COUNTIFS('예비 및 여유차량'!$B$5:$B$24,"B",'예비 및 여유차량'!$I$5:$I$24,"&lt;&gt;핸드리프트",'예비 및 여유차량'!$I$5:$I$24,"&lt;&gt;핸드파레트",'예비 및 여유차량'!$I$5:$I$24,"&lt;&gt;입식",'예비 및 여유차량'!$I$5:$I$24,"&lt;&gt;좌식",'예비 및 여유차량'!$J$5:$J$24,"16T")</f>
        <v>0</v>
      </c>
      <c r="I20" s="142">
        <f>COUNTIFS('예비 및 여유차량'!B28:B31,"O",'예비 및 여유차량'!$I$27:$I$30,"좌식",'예비 및 여유차량'!$J$27:$J$30,"16T")</f>
        <v>0</v>
      </c>
      <c r="J20" s="140">
        <f>COUNTIFS('예비 및 여유차량'!B28:B31,"B",'예비 및 여유차량'!$I$27:$I$30,"좌식",'예비 및 여유차량'!$J$27:$J$30,"16T")</f>
        <v>0</v>
      </c>
      <c r="K20" s="140">
        <f>COUNTIFS('예비 및 여유차량'!B28:B31,"B",'예비 및 여유차량'!$I$27:$I$30,"입식",'예비 및 여유차량'!$J$27:$J$30,"16T")</f>
        <v>0</v>
      </c>
      <c r="L20" s="140">
        <f>COUNTIFS('예비 및 여유차량'!B28:B31,"B",'예비 및 여유차량'!$I$27:$I$30,"핸드파레트",'예비 및 여유차량'!$J$27:$J$30,"16T")</f>
        <v>0</v>
      </c>
      <c r="M20" s="141">
        <f>COUNTIFS('예비 및 여유차량'!A28:A31,"B",'예비 및 여유차량'!$I$27:$I$30,"핸드리프트",'예비 및 여유차량'!$J$27:$J$30,"16T")</f>
        <v>0</v>
      </c>
      <c r="N20" s="143">
        <f>COUNTIFS('예비 및 여유차량'!A37:A40,"B",'예비 및 여유차량'!I37:I40,"&lt;&gt;핸드리프트",'예비 및 여유차량'!I37:I40,"&lt;&gt;핸드파레트",'예비 및 여유차량'!I37:I40,"&lt;&gt;입식",'예비 및 여유차량'!I37:I40,"&lt;&gt;좌식",'예비 및 여유차량'!J37:J40,"16T")</f>
        <v>0</v>
      </c>
      <c r="O20" s="142">
        <f>COUNTIFS('예비 및 여유차량'!$B$34:$B$44,"O",'예비 및 여유차량'!$I$34:$I$44,"좌식",'예비 및 여유차량'!$J$34:$J$44,"16T")</f>
        <v>1</v>
      </c>
      <c r="P20" s="140">
        <f>COUNTIFS('예비 및 여유차량'!$B$34:$B$44,"B",'예비 및 여유차량'!$I$34:$I$44,"좌식",'예비 및 여유차량'!$J$34:$J$44,"16T")</f>
        <v>0</v>
      </c>
      <c r="Q20" s="140">
        <f>COUNTIFS('예비 및 여유차량'!$B$34:$B$44,"B",'예비 및 여유차량'!$I$34:$I$44,"입식",'예비 및 여유차량'!$J$34:$J$44,"16T")</f>
        <v>0</v>
      </c>
      <c r="R20" s="140">
        <f>COUNTIFS('예비 및 여유차량'!$B$34:$B$44,"B",'예비 및 여유차량'!$I$34:$I$44,"핸드파레트",'예비 및 여유차량'!$J$34:$J$44,"16T")</f>
        <v>0</v>
      </c>
      <c r="S20" s="141">
        <f>COUNTIFS('예비 및 여유차량'!$B$34:$B$44,"B",'예비 및 여유차량'!$I$34:$I$44,"핸드리프트",'예비 및 여유차량'!$J$34:$J$44,"16T")</f>
        <v>0</v>
      </c>
      <c r="T20" s="143">
        <f>COUNTIFS('예비 및 여유차량'!$B$34:$B$44,"B",'예비 및 여유차량'!$I$34:$I$44,"&lt;&gt;핸드리프트",'예비 및 여유차량'!$I$34:$I$44,"&lt;&gt;핸드파레트",'예비 및 여유차량'!$I$34:$I$44,"&lt;&gt;입식",'예비 및 여유차량'!$I$34:$I$44,"&lt;&gt;좌식",'예비 및 여유차량'!$J$34:$J$44,"16T")</f>
        <v>0</v>
      </c>
      <c r="U20" s="139">
        <f>COUNTIFS('예비 및 여유차량'!$B$55:$B$61,"O",'예비 및 여유차량'!$I$55:$I$61,"좌식",'예비 및 여유차량'!$J$55:$J$61,"16T")</f>
        <v>0</v>
      </c>
      <c r="V20" s="140">
        <f>COUNTIFS('예비 및 여유차량'!$B$55:$B$61,"B",'예비 및 여유차량'!$I$55:$I$61,"좌식",'예비 및 여유차량'!$J$55:$J$61,"16T")</f>
        <v>0</v>
      </c>
      <c r="W20" s="140">
        <f>COUNTIFS('예비 및 여유차량'!$B$55:$B$61,"B",'예비 및 여유차량'!$I$55:$I$61,"입식",'예비 및 여유차량'!$J$55:$J$61,"16T")</f>
        <v>0</v>
      </c>
      <c r="X20" s="140">
        <f>COUNTIFS('예비 및 여유차량'!$B$55:$B$61,"B",'예비 및 여유차량'!$I$55:$I$61,"핸드파레트",'예비 및 여유차량'!$J$55:$J$61,"16T")</f>
        <v>0</v>
      </c>
      <c r="Y20" s="141">
        <f>COUNTIFS('예비 및 여유차량'!$B$55:$B$61,"B",'예비 및 여유차량'!$I$55:$I$61,"핸드리프트",'예비 및 여유차량'!$J$55:$J$61,"16T")</f>
        <v>0</v>
      </c>
      <c r="Z20" s="143">
        <f>COUNTIFS('예비 및 여유차량'!$B$55:$B$61,"B",'예비 및 여유차량'!$I$55:$I$61,"&lt;&gt;핸드리프트",'예비 및 여유차량'!$I$55:$I$61,"&lt;&gt;핸드파레트",'예비 및 여유차량'!$I$55:$I$61,"&lt;&gt;입식",'예비 및 여유차량'!$I$55:$I$61,"&lt;&gt;좌식",'예비 및 여유차량'!$J$55:$J$61,"16T")</f>
        <v>0</v>
      </c>
    </row>
    <row r="21" spans="2:27" ht="18" thickTop="1" x14ac:dyDescent="0.4">
      <c r="B21" s="126" t="s">
        <v>1778</v>
      </c>
      <c r="C21" s="144">
        <f>SUM(C10:C20)</f>
        <v>8</v>
      </c>
      <c r="D21" s="144">
        <f t="shared" ref="D21:Z21" si="0">SUM(D10:D20)</f>
        <v>5</v>
      </c>
      <c r="E21" s="144">
        <f t="shared" si="0"/>
        <v>0</v>
      </c>
      <c r="F21" s="144">
        <f t="shared" si="0"/>
        <v>1</v>
      </c>
      <c r="G21" s="144">
        <f t="shared" si="0"/>
        <v>2</v>
      </c>
      <c r="H21" s="144">
        <f t="shared" si="0"/>
        <v>4</v>
      </c>
      <c r="I21" s="144">
        <f t="shared" si="0"/>
        <v>2</v>
      </c>
      <c r="J21" s="144">
        <f t="shared" si="0"/>
        <v>2</v>
      </c>
      <c r="K21" s="144">
        <f t="shared" si="0"/>
        <v>0</v>
      </c>
      <c r="L21" s="144">
        <f t="shared" si="0"/>
        <v>0</v>
      </c>
      <c r="M21" s="144">
        <f t="shared" si="0"/>
        <v>0</v>
      </c>
      <c r="N21" s="144">
        <f t="shared" si="0"/>
        <v>0</v>
      </c>
      <c r="O21" s="144">
        <f t="shared" si="0"/>
        <v>5</v>
      </c>
      <c r="P21" s="144">
        <f t="shared" si="0"/>
        <v>1</v>
      </c>
      <c r="Q21" s="144">
        <f t="shared" si="0"/>
        <v>3</v>
      </c>
      <c r="R21" s="144">
        <f t="shared" si="0"/>
        <v>0</v>
      </c>
      <c r="S21" s="144">
        <f t="shared" si="0"/>
        <v>0</v>
      </c>
      <c r="T21" s="144">
        <f t="shared" si="0"/>
        <v>2</v>
      </c>
      <c r="U21" s="144">
        <f t="shared" si="0"/>
        <v>0</v>
      </c>
      <c r="V21" s="144">
        <f t="shared" si="0"/>
        <v>2</v>
      </c>
      <c r="W21" s="144">
        <f t="shared" si="0"/>
        <v>5</v>
      </c>
      <c r="X21" s="144">
        <f t="shared" si="0"/>
        <v>0</v>
      </c>
      <c r="Y21" s="144">
        <f t="shared" si="0"/>
        <v>0</v>
      </c>
      <c r="Z21" s="145">
        <f t="shared" si="0"/>
        <v>0</v>
      </c>
    </row>
    <row r="24" spans="2:27" hidden="1" x14ac:dyDescent="0.4">
      <c r="B24" s="185" t="s">
        <v>1754</v>
      </c>
      <c r="C24" s="182" t="s">
        <v>1826</v>
      </c>
      <c r="D24" s="182"/>
      <c r="E24" s="182"/>
      <c r="F24" s="182"/>
      <c r="G24" s="182"/>
      <c r="H24" s="182"/>
      <c r="I24" s="182"/>
      <c r="J24" s="182"/>
      <c r="K24" s="182"/>
      <c r="L24" s="182"/>
      <c r="M24" s="182"/>
      <c r="N24" s="182"/>
      <c r="O24" s="182"/>
      <c r="P24" s="182"/>
      <c r="Q24" s="182"/>
      <c r="R24" s="182"/>
      <c r="S24" s="182"/>
      <c r="T24" s="182"/>
      <c r="U24" s="182"/>
      <c r="V24" s="182"/>
      <c r="W24" s="182"/>
      <c r="X24" s="182"/>
      <c r="Y24" s="182"/>
      <c r="Z24" s="182"/>
      <c r="AA24" s="182"/>
    </row>
    <row r="25" spans="2:27" hidden="1" x14ac:dyDescent="0.4">
      <c r="B25" s="186"/>
      <c r="C25" s="102">
        <v>1900</v>
      </c>
      <c r="D25" s="102">
        <v>1995</v>
      </c>
      <c r="E25" s="102">
        <v>1998</v>
      </c>
      <c r="F25" s="102">
        <v>1999</v>
      </c>
      <c r="G25" s="102"/>
      <c r="H25" s="102">
        <v>2002</v>
      </c>
      <c r="I25" s="102">
        <v>2003</v>
      </c>
      <c r="J25" s="102">
        <v>2004</v>
      </c>
      <c r="K25" s="102">
        <v>2005</v>
      </c>
      <c r="L25" s="102">
        <v>2008</v>
      </c>
      <c r="M25" s="102"/>
      <c r="N25" s="102">
        <v>2011</v>
      </c>
      <c r="O25" s="102">
        <v>2012</v>
      </c>
      <c r="P25" s="102">
        <v>2013</v>
      </c>
      <c r="Q25" s="102">
        <v>2014</v>
      </c>
      <c r="R25" s="102">
        <v>2017</v>
      </c>
      <c r="S25" s="102"/>
      <c r="T25" s="102">
        <v>2018</v>
      </c>
      <c r="U25" s="102">
        <v>2019</v>
      </c>
      <c r="V25" s="102">
        <v>2020</v>
      </c>
      <c r="W25" s="102">
        <v>2021</v>
      </c>
      <c r="X25" s="102">
        <v>2022</v>
      </c>
      <c r="Y25" s="102"/>
      <c r="Z25" s="102">
        <v>2023</v>
      </c>
      <c r="AA25" s="102">
        <v>2024</v>
      </c>
    </row>
    <row r="26" spans="2:27" hidden="1" x14ac:dyDescent="0.4">
      <c r="B26" s="102" t="s">
        <v>1760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2:27" hidden="1" x14ac:dyDescent="0.4">
      <c r="B27" s="102" t="s">
        <v>1761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2:27" hidden="1" x14ac:dyDescent="0.4">
      <c r="B28" s="102" t="s">
        <v>1771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2:27" hidden="1" x14ac:dyDescent="0.4">
      <c r="B29" s="102" t="s">
        <v>1762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2:27" hidden="1" x14ac:dyDescent="0.4">
      <c r="B30" s="102" t="s">
        <v>1763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2:27" hidden="1" x14ac:dyDescent="0.4">
      <c r="B31" s="102" t="s">
        <v>1764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2:27" hidden="1" x14ac:dyDescent="0.4">
      <c r="B32" s="102" t="s">
        <v>1765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2:27" hidden="1" x14ac:dyDescent="0.4">
      <c r="B33" s="102" t="s">
        <v>1766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2:27" hidden="1" x14ac:dyDescent="0.4">
      <c r="B34" s="102" t="s">
        <v>1767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2:27" hidden="1" x14ac:dyDescent="0.4">
      <c r="B35" s="102" t="s">
        <v>1768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</sheetData>
  <mergeCells count="15">
    <mergeCell ref="C4:D4"/>
    <mergeCell ref="C5:D5"/>
    <mergeCell ref="B24:B25"/>
    <mergeCell ref="C24:AA24"/>
    <mergeCell ref="B7:B9"/>
    <mergeCell ref="C7:H7"/>
    <mergeCell ref="I7:N7"/>
    <mergeCell ref="U7:Z7"/>
    <mergeCell ref="D8:H8"/>
    <mergeCell ref="J8:N8"/>
    <mergeCell ref="H4:J4"/>
    <mergeCell ref="H5:J5"/>
    <mergeCell ref="V8:Z8"/>
    <mergeCell ref="O7:T7"/>
    <mergeCell ref="P8:T8"/>
  </mergeCells>
  <phoneticPr fontId="2" type="noConversion"/>
  <conditionalFormatting sqref="C10:Z20">
    <cfRule type="expression" dxfId="0" priority="1">
      <formula>AND(ISNUMBER(C10),C10&lt;&gt;0)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3:U54"/>
  <sheetViews>
    <sheetView topLeftCell="A4" workbookViewId="0">
      <selection activeCell="H10" sqref="H10"/>
    </sheetView>
  </sheetViews>
  <sheetFormatPr defaultRowHeight="17.399999999999999" x14ac:dyDescent="0.4"/>
  <cols>
    <col min="1" max="1" width="18.59765625" bestFit="1" customWidth="1"/>
    <col min="2" max="2" width="11.8984375" bestFit="1" customWidth="1"/>
    <col min="3" max="5" width="5.59765625" bestFit="1" customWidth="1"/>
    <col min="6" max="6" width="5.09765625" bestFit="1" customWidth="1"/>
    <col min="7" max="18" width="5.59765625" bestFit="1" customWidth="1"/>
    <col min="19" max="19" width="5.5" bestFit="1" customWidth="1"/>
    <col min="20" max="20" width="5.09765625" bestFit="1" customWidth="1"/>
    <col min="21" max="21" width="7.3984375" bestFit="1" customWidth="1"/>
  </cols>
  <sheetData>
    <row r="3" spans="1:21" x14ac:dyDescent="0.4">
      <c r="A3" s="76" t="s">
        <v>1301</v>
      </c>
      <c r="B3" s="76" t="s">
        <v>1302</v>
      </c>
    </row>
    <row r="4" spans="1:21" x14ac:dyDescent="0.4">
      <c r="A4" s="76" t="s">
        <v>1303</v>
      </c>
      <c r="B4" t="s">
        <v>136</v>
      </c>
      <c r="C4" t="s">
        <v>531</v>
      </c>
      <c r="D4" t="s">
        <v>129</v>
      </c>
      <c r="E4" t="s">
        <v>62</v>
      </c>
      <c r="F4" t="s">
        <v>262</v>
      </c>
      <c r="G4" t="s">
        <v>55</v>
      </c>
      <c r="H4" t="s">
        <v>33</v>
      </c>
      <c r="I4" t="s">
        <v>23</v>
      </c>
      <c r="J4" t="s">
        <v>1114</v>
      </c>
      <c r="K4" t="s">
        <v>317</v>
      </c>
      <c r="L4" t="s">
        <v>333</v>
      </c>
      <c r="M4" t="s">
        <v>114</v>
      </c>
      <c r="N4" t="s">
        <v>339</v>
      </c>
      <c r="O4" t="s">
        <v>254</v>
      </c>
      <c r="P4" t="s">
        <v>1213</v>
      </c>
      <c r="Q4" t="s">
        <v>282</v>
      </c>
      <c r="R4" t="s">
        <v>345</v>
      </c>
      <c r="S4" t="s">
        <v>300</v>
      </c>
      <c r="T4" t="s">
        <v>1380</v>
      </c>
      <c r="U4" t="s">
        <v>1304</v>
      </c>
    </row>
    <row r="5" spans="1:21" x14ac:dyDescent="0.4">
      <c r="A5" s="2" t="s">
        <v>47</v>
      </c>
      <c r="G5">
        <v>1</v>
      </c>
      <c r="I5">
        <v>3</v>
      </c>
      <c r="L5">
        <v>1</v>
      </c>
      <c r="U5">
        <v>5</v>
      </c>
    </row>
    <row r="6" spans="1:21" x14ac:dyDescent="0.4">
      <c r="A6" s="2" t="s">
        <v>1185</v>
      </c>
      <c r="L6">
        <v>1</v>
      </c>
      <c r="U6">
        <v>1</v>
      </c>
    </row>
    <row r="7" spans="1:21" x14ac:dyDescent="0.4">
      <c r="A7" s="2" t="s">
        <v>421</v>
      </c>
      <c r="H7">
        <v>1</v>
      </c>
      <c r="U7">
        <v>1</v>
      </c>
    </row>
    <row r="8" spans="1:21" x14ac:dyDescent="0.4">
      <c r="A8" s="2" t="s">
        <v>961</v>
      </c>
      <c r="I8">
        <v>1</v>
      </c>
      <c r="U8">
        <v>1</v>
      </c>
    </row>
    <row r="9" spans="1:21" x14ac:dyDescent="0.4">
      <c r="A9" s="2" t="s">
        <v>656</v>
      </c>
      <c r="H9">
        <v>4</v>
      </c>
      <c r="I9">
        <v>1</v>
      </c>
      <c r="U9">
        <v>5</v>
      </c>
    </row>
    <row r="10" spans="1:21" x14ac:dyDescent="0.4">
      <c r="A10" s="2" t="s">
        <v>38</v>
      </c>
      <c r="E10">
        <v>7</v>
      </c>
      <c r="G10">
        <v>4</v>
      </c>
      <c r="I10">
        <v>2</v>
      </c>
      <c r="K10">
        <v>3</v>
      </c>
      <c r="M10">
        <v>2</v>
      </c>
      <c r="U10">
        <v>18</v>
      </c>
    </row>
    <row r="11" spans="1:21" x14ac:dyDescent="0.4">
      <c r="A11" s="2" t="s">
        <v>178</v>
      </c>
      <c r="D11">
        <v>4</v>
      </c>
      <c r="H11">
        <v>6</v>
      </c>
      <c r="I11">
        <v>2</v>
      </c>
      <c r="M11">
        <v>1</v>
      </c>
      <c r="U11">
        <v>13</v>
      </c>
    </row>
    <row r="12" spans="1:21" x14ac:dyDescent="0.4">
      <c r="A12" s="2" t="s">
        <v>275</v>
      </c>
      <c r="F12">
        <v>2</v>
      </c>
      <c r="U12">
        <v>2</v>
      </c>
    </row>
    <row r="13" spans="1:21" x14ac:dyDescent="0.4">
      <c r="A13" s="2" t="s">
        <v>1259</v>
      </c>
      <c r="E13">
        <v>2</v>
      </c>
      <c r="G13">
        <v>2</v>
      </c>
      <c r="H13">
        <v>1</v>
      </c>
      <c r="I13">
        <v>3</v>
      </c>
      <c r="O13">
        <v>2</v>
      </c>
      <c r="U13">
        <v>10</v>
      </c>
    </row>
    <row r="14" spans="1:21" x14ac:dyDescent="0.4">
      <c r="A14" s="2" t="s">
        <v>121</v>
      </c>
      <c r="B14">
        <v>2</v>
      </c>
      <c r="D14">
        <v>2</v>
      </c>
      <c r="G14">
        <v>1</v>
      </c>
      <c r="H14">
        <v>4</v>
      </c>
      <c r="I14">
        <v>1</v>
      </c>
      <c r="U14">
        <v>10</v>
      </c>
    </row>
    <row r="15" spans="1:21" x14ac:dyDescent="0.4">
      <c r="A15" s="2" t="s">
        <v>218</v>
      </c>
      <c r="D15">
        <v>1</v>
      </c>
      <c r="I15">
        <v>6</v>
      </c>
      <c r="U15">
        <v>7</v>
      </c>
    </row>
    <row r="16" spans="1:21" x14ac:dyDescent="0.4">
      <c r="A16" s="2" t="s">
        <v>259</v>
      </c>
      <c r="F16">
        <v>5</v>
      </c>
      <c r="Q16">
        <v>2</v>
      </c>
      <c r="U16">
        <v>7</v>
      </c>
    </row>
    <row r="17" spans="1:21" x14ac:dyDescent="0.4">
      <c r="A17" s="2" t="s">
        <v>233</v>
      </c>
      <c r="D17">
        <v>1</v>
      </c>
      <c r="U17">
        <v>1</v>
      </c>
    </row>
    <row r="18" spans="1:21" x14ac:dyDescent="0.4">
      <c r="A18" s="2" t="s">
        <v>278</v>
      </c>
      <c r="F18">
        <v>1</v>
      </c>
      <c r="Q18">
        <v>1</v>
      </c>
      <c r="U18">
        <v>2</v>
      </c>
    </row>
    <row r="19" spans="1:21" x14ac:dyDescent="0.4">
      <c r="A19" s="2" t="s">
        <v>154</v>
      </c>
      <c r="B19">
        <v>1</v>
      </c>
      <c r="D19">
        <v>2</v>
      </c>
      <c r="E19">
        <v>2</v>
      </c>
      <c r="H19">
        <v>1</v>
      </c>
      <c r="U19">
        <v>6</v>
      </c>
    </row>
    <row r="20" spans="1:21" x14ac:dyDescent="0.4">
      <c r="A20" s="2" t="s">
        <v>76</v>
      </c>
      <c r="D20">
        <v>4</v>
      </c>
      <c r="E20">
        <v>4</v>
      </c>
      <c r="H20">
        <v>22</v>
      </c>
      <c r="I20">
        <v>8</v>
      </c>
      <c r="K20">
        <v>1</v>
      </c>
      <c r="L20">
        <v>1</v>
      </c>
      <c r="N20">
        <v>2</v>
      </c>
      <c r="U20">
        <v>42</v>
      </c>
    </row>
    <row r="21" spans="1:21" x14ac:dyDescent="0.4">
      <c r="A21" s="2" t="s">
        <v>550</v>
      </c>
      <c r="H21">
        <v>2</v>
      </c>
      <c r="I21">
        <v>1</v>
      </c>
      <c r="U21">
        <v>3</v>
      </c>
    </row>
    <row r="22" spans="1:21" x14ac:dyDescent="0.4">
      <c r="A22" s="2" t="s">
        <v>434</v>
      </c>
      <c r="I22">
        <v>1</v>
      </c>
      <c r="U22">
        <v>1</v>
      </c>
    </row>
    <row r="23" spans="1:21" x14ac:dyDescent="0.4">
      <c r="A23" s="2" t="s">
        <v>1107</v>
      </c>
      <c r="H23">
        <v>1</v>
      </c>
      <c r="I23">
        <v>1</v>
      </c>
      <c r="U23">
        <v>2</v>
      </c>
    </row>
    <row r="24" spans="1:21" x14ac:dyDescent="0.4">
      <c r="A24" s="2" t="s">
        <v>1182</v>
      </c>
      <c r="I24">
        <v>1</v>
      </c>
      <c r="U24">
        <v>1</v>
      </c>
    </row>
    <row r="25" spans="1:21" x14ac:dyDescent="0.4">
      <c r="A25" s="2" t="s">
        <v>18</v>
      </c>
      <c r="H25">
        <v>1</v>
      </c>
      <c r="I25">
        <v>1</v>
      </c>
      <c r="U25">
        <v>2</v>
      </c>
    </row>
    <row r="26" spans="1:21" x14ac:dyDescent="0.4">
      <c r="A26" s="2" t="s">
        <v>101</v>
      </c>
      <c r="D26">
        <v>3</v>
      </c>
      <c r="E26">
        <v>1</v>
      </c>
      <c r="H26">
        <v>1</v>
      </c>
      <c r="I26">
        <v>2</v>
      </c>
      <c r="S26">
        <v>1</v>
      </c>
      <c r="U26">
        <v>8</v>
      </c>
    </row>
    <row r="27" spans="1:21" x14ac:dyDescent="0.4">
      <c r="A27" s="2" t="s">
        <v>675</v>
      </c>
      <c r="D27">
        <v>4</v>
      </c>
      <c r="H27">
        <v>16</v>
      </c>
      <c r="K27">
        <v>2</v>
      </c>
      <c r="N27">
        <v>5</v>
      </c>
      <c r="O27">
        <v>5</v>
      </c>
      <c r="R27">
        <v>2</v>
      </c>
      <c r="U27">
        <v>34</v>
      </c>
    </row>
    <row r="28" spans="1:21" x14ac:dyDescent="0.4">
      <c r="A28" s="2" t="s">
        <v>1084</v>
      </c>
      <c r="H28">
        <v>1</v>
      </c>
      <c r="U28">
        <v>1</v>
      </c>
    </row>
    <row r="29" spans="1:21" x14ac:dyDescent="0.4">
      <c r="A29" s="2" t="s">
        <v>304</v>
      </c>
      <c r="H29">
        <v>1</v>
      </c>
      <c r="I29">
        <v>2</v>
      </c>
      <c r="K29">
        <v>1</v>
      </c>
      <c r="U29">
        <v>4</v>
      </c>
    </row>
    <row r="30" spans="1:21" x14ac:dyDescent="0.4">
      <c r="A30" s="2" t="s">
        <v>995</v>
      </c>
      <c r="H30">
        <v>1</v>
      </c>
      <c r="U30">
        <v>1</v>
      </c>
    </row>
    <row r="31" spans="1:21" x14ac:dyDescent="0.4">
      <c r="A31" s="2" t="s">
        <v>322</v>
      </c>
      <c r="E31">
        <v>1</v>
      </c>
      <c r="H31">
        <v>3</v>
      </c>
      <c r="I31">
        <v>1</v>
      </c>
      <c r="L31">
        <v>1</v>
      </c>
      <c r="N31">
        <v>2</v>
      </c>
      <c r="R31">
        <v>1</v>
      </c>
      <c r="U31">
        <v>9</v>
      </c>
    </row>
    <row r="32" spans="1:21" x14ac:dyDescent="0.4">
      <c r="A32" s="2" t="s">
        <v>1237</v>
      </c>
      <c r="F32">
        <v>2</v>
      </c>
      <c r="U32">
        <v>2</v>
      </c>
    </row>
    <row r="33" spans="1:21" x14ac:dyDescent="0.4">
      <c r="A33" s="2" t="s">
        <v>833</v>
      </c>
      <c r="N33">
        <v>1</v>
      </c>
      <c r="Q33">
        <v>1</v>
      </c>
      <c r="R33">
        <v>1</v>
      </c>
      <c r="U33">
        <v>3</v>
      </c>
    </row>
    <row r="34" spans="1:21" x14ac:dyDescent="0.4">
      <c r="A34" s="2" t="s">
        <v>486</v>
      </c>
      <c r="C34">
        <v>3</v>
      </c>
      <c r="D34">
        <v>11</v>
      </c>
      <c r="E34">
        <v>4</v>
      </c>
      <c r="G34">
        <v>11</v>
      </c>
      <c r="H34">
        <v>2</v>
      </c>
      <c r="I34">
        <v>9</v>
      </c>
      <c r="K34">
        <v>2</v>
      </c>
      <c r="M34">
        <v>1</v>
      </c>
      <c r="N34">
        <v>5</v>
      </c>
      <c r="P34">
        <v>4</v>
      </c>
      <c r="U34">
        <v>52</v>
      </c>
    </row>
    <row r="35" spans="1:21" x14ac:dyDescent="0.4">
      <c r="A35" s="2" t="s">
        <v>872</v>
      </c>
      <c r="B35">
        <v>1</v>
      </c>
      <c r="H35">
        <v>3</v>
      </c>
      <c r="U35">
        <v>4</v>
      </c>
    </row>
    <row r="36" spans="1:21" x14ac:dyDescent="0.4">
      <c r="A36" s="2" t="s">
        <v>427</v>
      </c>
      <c r="D36">
        <v>2</v>
      </c>
      <c r="I36">
        <v>4</v>
      </c>
      <c r="K36">
        <v>1</v>
      </c>
      <c r="U36">
        <v>7</v>
      </c>
    </row>
    <row r="37" spans="1:21" x14ac:dyDescent="0.4">
      <c r="A37" s="2" t="s">
        <v>947</v>
      </c>
      <c r="D37">
        <v>1</v>
      </c>
      <c r="U37">
        <v>1</v>
      </c>
    </row>
    <row r="38" spans="1:21" x14ac:dyDescent="0.4">
      <c r="A38" s="2" t="s">
        <v>413</v>
      </c>
      <c r="B38">
        <v>1</v>
      </c>
      <c r="C38">
        <v>1</v>
      </c>
      <c r="G38">
        <v>2</v>
      </c>
      <c r="H38">
        <v>2</v>
      </c>
      <c r="S38">
        <v>3</v>
      </c>
      <c r="U38">
        <v>9</v>
      </c>
    </row>
    <row r="39" spans="1:21" x14ac:dyDescent="0.4">
      <c r="A39" s="2" t="s">
        <v>392</v>
      </c>
      <c r="H39">
        <v>4</v>
      </c>
      <c r="I39">
        <v>4</v>
      </c>
      <c r="U39">
        <v>8</v>
      </c>
    </row>
    <row r="40" spans="1:21" x14ac:dyDescent="0.4">
      <c r="A40" s="2" t="s">
        <v>476</v>
      </c>
      <c r="S40">
        <v>2</v>
      </c>
      <c r="U40">
        <v>2</v>
      </c>
    </row>
    <row r="41" spans="1:21" x14ac:dyDescent="0.4">
      <c r="A41" s="2" t="s">
        <v>370</v>
      </c>
      <c r="E41">
        <v>3</v>
      </c>
      <c r="H41">
        <v>4</v>
      </c>
      <c r="I41">
        <v>1</v>
      </c>
      <c r="U41">
        <v>8</v>
      </c>
    </row>
    <row r="42" spans="1:21" x14ac:dyDescent="0.4">
      <c r="A42" s="2" t="s">
        <v>400</v>
      </c>
      <c r="E42">
        <v>1</v>
      </c>
      <c r="H42">
        <v>3</v>
      </c>
      <c r="I42">
        <v>2</v>
      </c>
      <c r="U42">
        <v>6</v>
      </c>
    </row>
    <row r="43" spans="1:21" x14ac:dyDescent="0.4">
      <c r="A43" s="2" t="s">
        <v>1198</v>
      </c>
      <c r="H43">
        <v>3</v>
      </c>
      <c r="U43">
        <v>3</v>
      </c>
    </row>
    <row r="44" spans="1:21" x14ac:dyDescent="0.4">
      <c r="A44" s="2" t="s">
        <v>59</v>
      </c>
      <c r="D44">
        <v>3</v>
      </c>
      <c r="E44">
        <v>3</v>
      </c>
      <c r="G44">
        <v>2</v>
      </c>
      <c r="H44">
        <v>12</v>
      </c>
      <c r="I44">
        <v>2</v>
      </c>
      <c r="L44">
        <v>1</v>
      </c>
      <c r="N44">
        <v>2</v>
      </c>
      <c r="O44">
        <v>1</v>
      </c>
      <c r="Q44">
        <v>1</v>
      </c>
      <c r="U44">
        <v>27</v>
      </c>
    </row>
    <row r="45" spans="1:21" x14ac:dyDescent="0.4">
      <c r="A45" s="2" t="s">
        <v>388</v>
      </c>
      <c r="D45">
        <v>1</v>
      </c>
      <c r="H45">
        <v>4</v>
      </c>
      <c r="I45">
        <v>1</v>
      </c>
      <c r="U45">
        <v>6</v>
      </c>
    </row>
    <row r="46" spans="1:21" x14ac:dyDescent="0.4">
      <c r="A46" s="2" t="s">
        <v>447</v>
      </c>
      <c r="E46">
        <v>1</v>
      </c>
      <c r="G46">
        <v>1</v>
      </c>
      <c r="J46">
        <v>1</v>
      </c>
      <c r="U46">
        <v>3</v>
      </c>
    </row>
    <row r="47" spans="1:21" x14ac:dyDescent="0.4">
      <c r="A47" s="2" t="s">
        <v>1008</v>
      </c>
      <c r="I47">
        <v>1</v>
      </c>
      <c r="U47">
        <v>1</v>
      </c>
    </row>
    <row r="48" spans="1:21" x14ac:dyDescent="0.4">
      <c r="A48" s="2" t="s">
        <v>1037</v>
      </c>
      <c r="H48">
        <v>9</v>
      </c>
      <c r="U48">
        <v>9</v>
      </c>
    </row>
    <row r="49" spans="1:21" x14ac:dyDescent="0.4">
      <c r="A49" s="2" t="s">
        <v>30</v>
      </c>
      <c r="H49">
        <v>1</v>
      </c>
      <c r="U49">
        <v>1</v>
      </c>
    </row>
    <row r="50" spans="1:21" x14ac:dyDescent="0.4">
      <c r="A50" s="2" t="s">
        <v>439</v>
      </c>
      <c r="B50">
        <v>1</v>
      </c>
      <c r="H50">
        <v>7</v>
      </c>
      <c r="U50">
        <v>8</v>
      </c>
    </row>
    <row r="51" spans="1:21" x14ac:dyDescent="0.4">
      <c r="A51" s="2" t="s">
        <v>1190</v>
      </c>
      <c r="I51">
        <v>1</v>
      </c>
      <c r="U51">
        <v>1</v>
      </c>
    </row>
    <row r="52" spans="1:21" x14ac:dyDescent="0.4">
      <c r="A52" s="2" t="s">
        <v>1361</v>
      </c>
      <c r="H52">
        <v>1</v>
      </c>
      <c r="U52">
        <v>1</v>
      </c>
    </row>
    <row r="53" spans="1:21" x14ac:dyDescent="0.4">
      <c r="A53" s="2" t="s">
        <v>1377</v>
      </c>
      <c r="I53">
        <v>1</v>
      </c>
      <c r="O53">
        <v>1</v>
      </c>
      <c r="T53">
        <v>1</v>
      </c>
      <c r="U53">
        <v>3</v>
      </c>
    </row>
    <row r="54" spans="1:21" x14ac:dyDescent="0.4">
      <c r="A54" s="2" t="s">
        <v>1304</v>
      </c>
      <c r="B54">
        <v>6</v>
      </c>
      <c r="C54">
        <v>4</v>
      </c>
      <c r="D54">
        <v>39</v>
      </c>
      <c r="E54">
        <v>29</v>
      </c>
      <c r="F54">
        <v>10</v>
      </c>
      <c r="G54">
        <v>24</v>
      </c>
      <c r="H54">
        <v>121</v>
      </c>
      <c r="I54">
        <v>63</v>
      </c>
      <c r="J54">
        <v>1</v>
      </c>
      <c r="K54">
        <v>10</v>
      </c>
      <c r="L54">
        <v>5</v>
      </c>
      <c r="M54">
        <v>4</v>
      </c>
      <c r="N54">
        <v>17</v>
      </c>
      <c r="O54">
        <v>9</v>
      </c>
      <c r="P54">
        <v>4</v>
      </c>
      <c r="Q54">
        <v>5</v>
      </c>
      <c r="R54">
        <v>4</v>
      </c>
      <c r="S54">
        <v>6</v>
      </c>
      <c r="T54">
        <v>1</v>
      </c>
      <c r="U54">
        <v>362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1</vt:i4>
      </vt:variant>
    </vt:vector>
  </HeadingPairs>
  <TitlesOfParts>
    <vt:vector size="5" baseType="lpstr">
      <vt:lpstr>K&amp;L 지게차 Master list</vt:lpstr>
      <vt:lpstr>예비 및 여유차량</vt:lpstr>
      <vt:lpstr>예비차량 Summary</vt:lpstr>
      <vt:lpstr>업체별 보유현황</vt:lpstr>
      <vt:lpstr>'예비 및 여유차량'!Print_Area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</dc:creator>
  <cp:lastModifiedBy>MY</cp:lastModifiedBy>
  <cp:lastPrinted>2025-08-08T00:11:04Z</cp:lastPrinted>
  <dcterms:created xsi:type="dcterms:W3CDTF">2025-03-21T05:09:11Z</dcterms:created>
  <dcterms:modified xsi:type="dcterms:W3CDTF">2026-05-28T00:39:11Z</dcterms:modified>
</cp:coreProperties>
</file>